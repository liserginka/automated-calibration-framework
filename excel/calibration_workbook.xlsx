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анные" sheetId="1" state="visible" r:id="rId3"/>
    <sheet name="Градуировка" sheetId="2" state="visible" r:id="rId4"/>
    <sheet name="Расчёт_пробы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<sst xmlns="http://schemas.openxmlformats.org/spreadsheetml/2006/main" count="466" uniqueCount="28">
  <si>
    <t xml:space="preserve">Металл</t>
  </si>
  <si>
    <t xml:space="preserve">Сессия</t>
  </si>
  <si>
    <t xml:space="preserve">Концентрация_мг_дм3</t>
  </si>
  <si>
    <t xml:space="preserve">Повтор</t>
  </si>
  <si>
    <t xml:space="preserve">Оптическая_плотность_А</t>
  </si>
  <si>
    <t xml:space="preserve">Fe</t>
  </si>
  <si>
    <t xml:space="preserve">Cu</t>
  </si>
  <si>
    <t xml:space="preserve">Zn</t>
  </si>
  <si>
    <t xml:space="preserve">Cr</t>
  </si>
  <si>
    <t xml:space="preserve">Железо (Fe)</t>
  </si>
  <si>
    <t xml:space="preserve">Медь (Cu)</t>
  </si>
  <si>
    <t xml:space="preserve">Цинк (Zn)</t>
  </si>
  <si>
    <t xml:space="preserve">Хром (Cr)</t>
  </si>
  <si>
    <t xml:space="preserve">Концентрация,
мг/дм³</t>
  </si>
  <si>
    <t xml:space="preserve">Среднее A
(по журналу)</t>
  </si>
  <si>
    <t xml:space="preserve">k (тангенс угла накл.)</t>
  </si>
  <si>
    <t xml:space="preserve">b (свободный член)</t>
  </si>
  <si>
    <t xml:space="preserve">R²</t>
  </si>
  <si>
    <t xml:space="preserve">Примечание: A — оптическая плотность (среднее по параллельным измерениям и сессиям градуировки), рассчитано из листа «Данные». k, b, R² рассчитаны методом наименьших квадратов через встроенные функции Excel SLOPE / INTERCEPT / RSQ.</t>
  </si>
  <si>
    <t xml:space="preserve">Расчёт концентрации по градуировочному графику</t>
  </si>
  <si>
    <t xml:space="preserve">Измеренная A (проба)</t>
  </si>
  <si>
    <t xml:space="preserve">k (из листа «Градуировка»)</t>
  </si>
  <si>
    <t xml:space="preserve">b (из листа «Градуировка»)</t>
  </si>
  <si>
    <t xml:space="preserve">Концентрация C, мг/дм³</t>
  </si>
  <si>
    <t xml:space="preserve">Введите металл (B3) и измеренную оптическую плотность пробы (B4) — концентрация (B7) рассчитывается автоматически по формуле C=(A-b)/k.</t>
  </si>
  <si>
    <t xml:space="preserve">Служебная таблица (не удалять)</t>
  </si>
  <si>
    <t xml:space="preserve">k</t>
  </si>
  <si>
    <t xml:space="preserve">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</si>
</sst>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2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n">
        <v>1</v>
      </c>
      <c r="C2" s="2" t="n">
        <v>0</v>
      </c>
      <c r="D2" s="2" t="n">
        <v>1</v>
      </c>
      <c r="E2" s="2" t="n">
        <v>0.0155</v>
      </c>
    </row>
    <row r="3" customFormat="false" ht="15" hidden="false" customHeight="false" outlineLevel="0" collapsed="false">
      <c r="A3" s="2" t="s">
        <v>5</v>
      </c>
      <c r="B3" s="2" t="n">
        <v>1</v>
      </c>
      <c r="C3" s="2" t="n">
        <v>0</v>
      </c>
      <c r="D3" s="2" t="n">
        <v>2</v>
      </c>
      <c r="E3" s="2" t="n">
        <v>0.0207</v>
      </c>
    </row>
    <row r="4" customFormat="false" ht="15" hidden="false" customHeight="false" outlineLevel="0" collapsed="false">
      <c r="A4" s="2" t="s">
        <v>5</v>
      </c>
      <c r="B4" s="2" t="n">
        <v>1</v>
      </c>
      <c r="C4" s="2" t="n">
        <v>0</v>
      </c>
      <c r="D4" s="2" t="n">
        <v>3</v>
      </c>
      <c r="E4" s="2" t="n">
        <v>0.0102</v>
      </c>
    </row>
    <row r="5" customFormat="false" ht="15" hidden="false" customHeight="false" outlineLevel="0" collapsed="false">
      <c r="A5" s="2" t="s">
        <v>5</v>
      </c>
      <c r="B5" s="2" t="n">
        <v>1</v>
      </c>
      <c r="C5" s="2" t="n">
        <v>0.05</v>
      </c>
      <c r="D5" s="2" t="n">
        <v>1</v>
      </c>
      <c r="E5" s="2" t="n">
        <v>0.0525</v>
      </c>
    </row>
    <row r="6" customFormat="false" ht="15" hidden="false" customHeight="false" outlineLevel="0" collapsed="false">
      <c r="A6" s="2" t="s">
        <v>5</v>
      </c>
      <c r="B6" s="2" t="n">
        <v>1</v>
      </c>
      <c r="C6" s="2" t="n">
        <v>0.05</v>
      </c>
      <c r="D6" s="2" t="n">
        <v>2</v>
      </c>
      <c r="E6" s="2" t="n">
        <v>0.0634</v>
      </c>
    </row>
    <row r="7" customFormat="false" ht="15" hidden="false" customHeight="false" outlineLevel="0" collapsed="false">
      <c r="A7" s="2" t="s">
        <v>5</v>
      </c>
      <c r="B7" s="2" t="n">
        <v>1</v>
      </c>
      <c r="C7" s="2" t="n">
        <v>0.05</v>
      </c>
      <c r="D7" s="2" t="n">
        <v>3</v>
      </c>
      <c r="E7" s="2" t="n">
        <v>0.0585</v>
      </c>
    </row>
    <row r="8" customFormat="false" ht="15" hidden="false" customHeight="false" outlineLevel="0" collapsed="false">
      <c r="A8" s="2" t="s">
        <v>5</v>
      </c>
      <c r="B8" s="2" t="n">
        <v>1</v>
      </c>
      <c r="C8" s="2" t="n">
        <v>0.1</v>
      </c>
      <c r="D8" s="2" t="n">
        <v>1</v>
      </c>
      <c r="E8" s="2" t="n">
        <v>0.0935</v>
      </c>
    </row>
    <row r="9" customFormat="false" ht="15" hidden="false" customHeight="false" outlineLevel="0" collapsed="false">
      <c r="A9" s="2" t="s">
        <v>5</v>
      </c>
      <c r="B9" s="2" t="n">
        <v>1</v>
      </c>
      <c r="C9" s="2" t="n">
        <v>0.1</v>
      </c>
      <c r="D9" s="2" t="n">
        <v>2</v>
      </c>
      <c r="E9" s="2" t="n">
        <v>0.0995</v>
      </c>
    </row>
    <row r="10" customFormat="false" ht="15" hidden="false" customHeight="false" outlineLevel="0" collapsed="false">
      <c r="A10" s="2" t="s">
        <v>5</v>
      </c>
      <c r="B10" s="2" t="n">
        <v>1</v>
      </c>
      <c r="C10" s="2" t="n">
        <v>0.1</v>
      </c>
      <c r="D10" s="2" t="n">
        <v>3</v>
      </c>
      <c r="E10" s="2" t="n">
        <v>0.0935</v>
      </c>
    </row>
    <row r="11" customFormat="false" ht="15" hidden="false" customHeight="false" outlineLevel="0" collapsed="false">
      <c r="A11" s="2" t="s">
        <v>5</v>
      </c>
      <c r="B11" s="2" t="n">
        <v>1</v>
      </c>
      <c r="C11" s="2" t="n">
        <v>0.25</v>
      </c>
      <c r="D11" s="2" t="n">
        <v>1</v>
      </c>
      <c r="E11" s="2" t="n">
        <v>0.2205</v>
      </c>
    </row>
    <row r="12" customFormat="false" ht="15" hidden="false" customHeight="false" outlineLevel="0" collapsed="false">
      <c r="A12" s="2" t="s">
        <v>5</v>
      </c>
      <c r="B12" s="2" t="n">
        <v>1</v>
      </c>
      <c r="C12" s="2" t="n">
        <v>0.25</v>
      </c>
      <c r="D12" s="2" t="n">
        <v>2</v>
      </c>
      <c r="E12" s="2" t="n">
        <v>0.2248</v>
      </c>
    </row>
    <row r="13" customFormat="false" ht="15" hidden="false" customHeight="false" outlineLevel="0" collapsed="false">
      <c r="A13" s="2" t="s">
        <v>5</v>
      </c>
      <c r="B13" s="2" t="n">
        <v>1</v>
      </c>
      <c r="C13" s="2" t="n">
        <v>0.25</v>
      </c>
      <c r="D13" s="2" t="n">
        <v>3</v>
      </c>
      <c r="E13" s="2" t="n">
        <v>0.2119</v>
      </c>
    </row>
    <row r="14" customFormat="false" ht="15" hidden="false" customHeight="false" outlineLevel="0" collapsed="false">
      <c r="A14" s="2" t="s">
        <v>5</v>
      </c>
      <c r="B14" s="2" t="n">
        <v>1</v>
      </c>
      <c r="C14" s="2" t="n">
        <v>0.5</v>
      </c>
      <c r="D14" s="2" t="n">
        <v>1</v>
      </c>
      <c r="E14" s="2" t="n">
        <v>0.4247</v>
      </c>
    </row>
    <row r="15" customFormat="false" ht="15" hidden="false" customHeight="false" outlineLevel="0" collapsed="false">
      <c r="A15" s="2" t="s">
        <v>5</v>
      </c>
      <c r="B15" s="2" t="n">
        <v>1</v>
      </c>
      <c r="C15" s="2" t="n">
        <v>0.5</v>
      </c>
      <c r="D15" s="2" t="n">
        <v>2</v>
      </c>
      <c r="E15" s="2" t="n">
        <v>0.4317</v>
      </c>
    </row>
    <row r="16" customFormat="false" ht="15" hidden="false" customHeight="false" outlineLevel="0" collapsed="false">
      <c r="A16" s="2" t="s">
        <v>5</v>
      </c>
      <c r="B16" s="2" t="n">
        <v>1</v>
      </c>
      <c r="C16" s="2" t="n">
        <v>0.5</v>
      </c>
      <c r="D16" s="2" t="n">
        <v>3</v>
      </c>
      <c r="E16" s="2" t="n">
        <v>0.429</v>
      </c>
    </row>
    <row r="17" customFormat="false" ht="15" hidden="false" customHeight="false" outlineLevel="0" collapsed="false">
      <c r="A17" s="2" t="s">
        <v>5</v>
      </c>
      <c r="B17" s="2" t="n">
        <v>1</v>
      </c>
      <c r="C17" s="2" t="n">
        <v>1</v>
      </c>
      <c r="D17" s="2" t="n">
        <v>1</v>
      </c>
      <c r="E17" s="2" t="n">
        <v>0.8605</v>
      </c>
    </row>
    <row r="18" customFormat="false" ht="15" hidden="false" customHeight="false" outlineLevel="0" collapsed="false">
      <c r="A18" s="2" t="s">
        <v>5</v>
      </c>
      <c r="B18" s="2" t="n">
        <v>1</v>
      </c>
      <c r="C18" s="2" t="n">
        <v>1</v>
      </c>
      <c r="D18" s="2" t="n">
        <v>2</v>
      </c>
      <c r="E18" s="2" t="n">
        <v>0.8532</v>
      </c>
    </row>
    <row r="19" customFormat="false" ht="15" hidden="false" customHeight="false" outlineLevel="0" collapsed="false">
      <c r="A19" s="2" t="s">
        <v>5</v>
      </c>
      <c r="B19" s="2" t="n">
        <v>1</v>
      </c>
      <c r="C19" s="2" t="n">
        <v>1</v>
      </c>
      <c r="D19" s="2" t="n">
        <v>3</v>
      </c>
      <c r="E19" s="2" t="n">
        <v>0.8501</v>
      </c>
    </row>
    <row r="20" customFormat="false" ht="15" hidden="false" customHeight="false" outlineLevel="0" collapsed="false">
      <c r="A20" s="2" t="s">
        <v>5</v>
      </c>
      <c r="B20" s="2" t="n">
        <v>1</v>
      </c>
      <c r="C20" s="2" t="n">
        <v>2</v>
      </c>
      <c r="D20" s="2" t="n">
        <v>1</v>
      </c>
      <c r="E20" s="2" t="n">
        <v>1.7144</v>
      </c>
    </row>
    <row r="21" customFormat="false" ht="15" hidden="false" customHeight="false" outlineLevel="0" collapsed="false">
      <c r="A21" s="2" t="s">
        <v>5</v>
      </c>
      <c r="B21" s="2" t="n">
        <v>1</v>
      </c>
      <c r="C21" s="2" t="n">
        <v>2</v>
      </c>
      <c r="D21" s="2" t="n">
        <v>2</v>
      </c>
      <c r="E21" s="2" t="n">
        <v>1.7043</v>
      </c>
    </row>
    <row r="22" customFormat="false" ht="15" hidden="false" customHeight="false" outlineLevel="0" collapsed="false">
      <c r="A22" s="2" t="s">
        <v>5</v>
      </c>
      <c r="B22" s="2" t="n">
        <v>1</v>
      </c>
      <c r="C22" s="2" t="n">
        <v>2</v>
      </c>
      <c r="D22" s="2" t="n">
        <v>3</v>
      </c>
      <c r="E22" s="2" t="n">
        <v>1.706</v>
      </c>
    </row>
    <row r="23" customFormat="false" ht="15" hidden="false" customHeight="false" outlineLevel="0" collapsed="false">
      <c r="A23" s="2" t="s">
        <v>5</v>
      </c>
      <c r="B23" s="2" t="n">
        <v>2</v>
      </c>
      <c r="C23" s="2" t="n">
        <v>0</v>
      </c>
      <c r="D23" s="2" t="n">
        <v>1</v>
      </c>
      <c r="E23" s="2" t="n">
        <v>0.011</v>
      </c>
    </row>
    <row r="24" customFormat="false" ht="15" hidden="false" customHeight="false" outlineLevel="0" collapsed="false">
      <c r="A24" s="2" t="s">
        <v>5</v>
      </c>
      <c r="B24" s="2" t="n">
        <v>2</v>
      </c>
      <c r="C24" s="2" t="n">
        <v>0</v>
      </c>
      <c r="D24" s="2" t="n">
        <v>2</v>
      </c>
      <c r="E24" s="2" t="n">
        <v>0.0035</v>
      </c>
    </row>
    <row r="25" customFormat="false" ht="15" hidden="false" customHeight="false" outlineLevel="0" collapsed="false">
      <c r="A25" s="2" t="s">
        <v>5</v>
      </c>
      <c r="B25" s="2" t="n">
        <v>2</v>
      </c>
      <c r="C25" s="2" t="n">
        <v>0</v>
      </c>
      <c r="D25" s="2" t="n">
        <v>3</v>
      </c>
      <c r="E25" s="2" t="n">
        <v>0.0126</v>
      </c>
    </row>
    <row r="26" customFormat="false" ht="15" hidden="false" customHeight="false" outlineLevel="0" collapsed="false">
      <c r="A26" s="2" t="s">
        <v>5</v>
      </c>
      <c r="B26" s="2" t="n">
        <v>2</v>
      </c>
      <c r="C26" s="2" t="n">
        <v>0.05</v>
      </c>
      <c r="D26" s="2" t="n">
        <v>1</v>
      </c>
      <c r="E26" s="2" t="n">
        <v>0.0481</v>
      </c>
    </row>
    <row r="27" customFormat="false" ht="15" hidden="false" customHeight="false" outlineLevel="0" collapsed="false">
      <c r="A27" s="2" t="s">
        <v>5</v>
      </c>
      <c r="B27" s="2" t="n">
        <v>2</v>
      </c>
      <c r="C27" s="2" t="n">
        <v>0.05</v>
      </c>
      <c r="D27" s="2" t="n">
        <v>2</v>
      </c>
      <c r="E27" s="2" t="n">
        <v>0.05</v>
      </c>
    </row>
    <row r="28" customFormat="false" ht="15" hidden="false" customHeight="false" outlineLevel="0" collapsed="false">
      <c r="A28" s="2" t="s">
        <v>5</v>
      </c>
      <c r="B28" s="2" t="n">
        <v>2</v>
      </c>
      <c r="C28" s="2" t="n">
        <v>0.05</v>
      </c>
      <c r="D28" s="2" t="n">
        <v>3</v>
      </c>
      <c r="E28" s="2" t="n">
        <v>0.0481</v>
      </c>
    </row>
    <row r="29" customFormat="false" ht="15" hidden="false" customHeight="false" outlineLevel="0" collapsed="false">
      <c r="A29" s="2" t="s">
        <v>5</v>
      </c>
      <c r="B29" s="2" t="n">
        <v>2</v>
      </c>
      <c r="C29" s="2" t="n">
        <v>0.1</v>
      </c>
      <c r="D29" s="2" t="n">
        <v>1</v>
      </c>
      <c r="E29" s="2" t="n">
        <v>0.1042</v>
      </c>
    </row>
    <row r="30" customFormat="false" ht="15" hidden="false" customHeight="false" outlineLevel="0" collapsed="false">
      <c r="A30" s="2" t="s">
        <v>5</v>
      </c>
      <c r="B30" s="2" t="n">
        <v>2</v>
      </c>
      <c r="C30" s="2" t="n">
        <v>0.1</v>
      </c>
      <c r="D30" s="2" t="n">
        <v>2</v>
      </c>
      <c r="E30" s="2" t="n">
        <v>0.093</v>
      </c>
    </row>
    <row r="31" customFormat="false" ht="15" hidden="false" customHeight="false" outlineLevel="0" collapsed="false">
      <c r="A31" s="2" t="s">
        <v>5</v>
      </c>
      <c r="B31" s="2" t="n">
        <v>2</v>
      </c>
      <c r="C31" s="2" t="n">
        <v>0.1</v>
      </c>
      <c r="D31" s="2" t="n">
        <v>3</v>
      </c>
      <c r="E31" s="2" t="n">
        <v>0.0868</v>
      </c>
    </row>
    <row r="32" customFormat="false" ht="15" hidden="false" customHeight="false" outlineLevel="0" collapsed="false">
      <c r="A32" s="2" t="s">
        <v>5</v>
      </c>
      <c r="B32" s="2" t="n">
        <v>2</v>
      </c>
      <c r="C32" s="2" t="n">
        <v>0.25</v>
      </c>
      <c r="D32" s="2" t="n">
        <v>1</v>
      </c>
      <c r="E32" s="2" t="n">
        <v>0.2222</v>
      </c>
    </row>
    <row r="33" customFormat="false" ht="15" hidden="false" customHeight="false" outlineLevel="0" collapsed="false">
      <c r="A33" s="2" t="s">
        <v>5</v>
      </c>
      <c r="B33" s="2" t="n">
        <v>2</v>
      </c>
      <c r="C33" s="2" t="n">
        <v>0.25</v>
      </c>
      <c r="D33" s="2" t="n">
        <v>2</v>
      </c>
      <c r="E33" s="2" t="n">
        <v>0.2099</v>
      </c>
    </row>
    <row r="34" customFormat="false" ht="15" hidden="false" customHeight="false" outlineLevel="0" collapsed="false">
      <c r="A34" s="2" t="s">
        <v>5</v>
      </c>
      <c r="B34" s="2" t="n">
        <v>2</v>
      </c>
      <c r="C34" s="2" t="n">
        <v>0.25</v>
      </c>
      <c r="D34" s="2" t="n">
        <v>3</v>
      </c>
      <c r="E34" s="2" t="n">
        <v>0.2185</v>
      </c>
    </row>
    <row r="35" customFormat="false" ht="15" hidden="false" customHeight="false" outlineLevel="0" collapsed="false">
      <c r="A35" s="2" t="s">
        <v>5</v>
      </c>
      <c r="B35" s="2" t="n">
        <v>2</v>
      </c>
      <c r="C35" s="2" t="n">
        <v>0.5</v>
      </c>
      <c r="D35" s="2" t="n">
        <v>1</v>
      </c>
      <c r="E35" s="2" t="n">
        <v>0.4124</v>
      </c>
    </row>
    <row r="36" customFormat="false" ht="15" hidden="false" customHeight="false" outlineLevel="0" collapsed="false">
      <c r="A36" s="2" t="s">
        <v>5</v>
      </c>
      <c r="B36" s="2" t="n">
        <v>2</v>
      </c>
      <c r="C36" s="2" t="n">
        <v>0.5</v>
      </c>
      <c r="D36" s="2" t="n">
        <v>2</v>
      </c>
      <c r="E36" s="2" t="n">
        <v>0.4162</v>
      </c>
    </row>
    <row r="37" customFormat="false" ht="15" hidden="false" customHeight="false" outlineLevel="0" collapsed="false">
      <c r="A37" s="2" t="s">
        <v>5</v>
      </c>
      <c r="B37" s="2" t="n">
        <v>2</v>
      </c>
      <c r="C37" s="2" t="n">
        <v>0.5</v>
      </c>
      <c r="D37" s="2" t="n">
        <v>3</v>
      </c>
      <c r="E37" s="2" t="n">
        <v>0.4254</v>
      </c>
    </row>
    <row r="38" customFormat="false" ht="15" hidden="false" customHeight="false" outlineLevel="0" collapsed="false">
      <c r="A38" s="2" t="s">
        <v>5</v>
      </c>
      <c r="B38" s="2" t="n">
        <v>2</v>
      </c>
      <c r="C38" s="2" t="n">
        <v>1</v>
      </c>
      <c r="D38" s="2" t="n">
        <v>1</v>
      </c>
      <c r="E38" s="2" t="n">
        <v>0.8424</v>
      </c>
    </row>
    <row r="39" customFormat="false" ht="15" hidden="false" customHeight="false" outlineLevel="0" collapsed="false">
      <c r="A39" s="2" t="s">
        <v>5</v>
      </c>
      <c r="B39" s="2" t="n">
        <v>2</v>
      </c>
      <c r="C39" s="2" t="n">
        <v>1</v>
      </c>
      <c r="D39" s="2" t="n">
        <v>2</v>
      </c>
      <c r="E39" s="2" t="n">
        <v>0.839</v>
      </c>
    </row>
    <row r="40" customFormat="false" ht="15" hidden="false" customHeight="false" outlineLevel="0" collapsed="false">
      <c r="A40" s="2" t="s">
        <v>5</v>
      </c>
      <c r="B40" s="2" t="n">
        <v>2</v>
      </c>
      <c r="C40" s="2" t="n">
        <v>1</v>
      </c>
      <c r="D40" s="2" t="n">
        <v>3</v>
      </c>
      <c r="E40" s="2" t="n">
        <v>0.8373</v>
      </c>
    </row>
    <row r="41" customFormat="false" ht="15" hidden="false" customHeight="false" outlineLevel="0" collapsed="false">
      <c r="A41" s="2" t="s">
        <v>5</v>
      </c>
      <c r="B41" s="2" t="n">
        <v>2</v>
      </c>
      <c r="C41" s="2" t="n">
        <v>2</v>
      </c>
      <c r="D41" s="2" t="n">
        <v>1</v>
      </c>
      <c r="E41" s="2" t="n">
        <v>1.6638</v>
      </c>
    </row>
    <row r="42" customFormat="false" ht="15" hidden="false" customHeight="false" outlineLevel="0" collapsed="false">
      <c r="A42" s="2" t="s">
        <v>5</v>
      </c>
      <c r="B42" s="2" t="n">
        <v>2</v>
      </c>
      <c r="C42" s="2" t="n">
        <v>2</v>
      </c>
      <c r="D42" s="2" t="n">
        <v>2</v>
      </c>
      <c r="E42" s="2" t="n">
        <v>1.6567</v>
      </c>
    </row>
    <row r="43" customFormat="false" ht="15" hidden="false" customHeight="false" outlineLevel="0" collapsed="false">
      <c r="A43" s="2" t="s">
        <v>5</v>
      </c>
      <c r="B43" s="2" t="n">
        <v>2</v>
      </c>
      <c r="C43" s="2" t="n">
        <v>2</v>
      </c>
      <c r="D43" s="2" t="n">
        <v>3</v>
      </c>
      <c r="E43" s="2" t="n">
        <v>1.6613</v>
      </c>
    </row>
    <row r="44" customFormat="false" ht="15" hidden="false" customHeight="false" outlineLevel="0" collapsed="false">
      <c r="A44" s="2" t="s">
        <v>5</v>
      </c>
      <c r="B44" s="2" t="n">
        <v>3</v>
      </c>
      <c r="C44" s="2" t="n">
        <v>0</v>
      </c>
      <c r="D44" s="2" t="n">
        <v>1</v>
      </c>
      <c r="E44" s="2" t="n">
        <v>0.0172</v>
      </c>
    </row>
    <row r="45" customFormat="false" ht="15" hidden="false" customHeight="false" outlineLevel="0" collapsed="false">
      <c r="A45" s="2" t="s">
        <v>5</v>
      </c>
      <c r="B45" s="2" t="n">
        <v>3</v>
      </c>
      <c r="C45" s="2" t="n">
        <v>0</v>
      </c>
      <c r="D45" s="2" t="n">
        <v>2</v>
      </c>
      <c r="E45" s="2" t="n">
        <v>0.0046</v>
      </c>
    </row>
    <row r="46" customFormat="false" ht="15" hidden="false" customHeight="false" outlineLevel="0" collapsed="false">
      <c r="A46" s="2" t="s">
        <v>5</v>
      </c>
      <c r="B46" s="2" t="n">
        <v>3</v>
      </c>
      <c r="C46" s="2" t="n">
        <v>0</v>
      </c>
      <c r="D46" s="2" t="n">
        <v>3</v>
      </c>
      <c r="E46" s="2" t="n">
        <v>0.0171</v>
      </c>
    </row>
    <row r="47" customFormat="false" ht="15" hidden="false" customHeight="false" outlineLevel="0" collapsed="false">
      <c r="A47" s="2" t="s">
        <v>5</v>
      </c>
      <c r="B47" s="2" t="n">
        <v>3</v>
      </c>
      <c r="C47" s="2" t="n">
        <v>0.05</v>
      </c>
      <c r="D47" s="2" t="n">
        <v>1</v>
      </c>
      <c r="E47" s="2" t="n">
        <v>0.0547</v>
      </c>
    </row>
    <row r="48" customFormat="false" ht="15" hidden="false" customHeight="false" outlineLevel="0" collapsed="false">
      <c r="A48" s="2" t="s">
        <v>5</v>
      </c>
      <c r="B48" s="2" t="n">
        <v>3</v>
      </c>
      <c r="C48" s="2" t="n">
        <v>0.05</v>
      </c>
      <c r="D48" s="2" t="n">
        <v>2</v>
      </c>
      <c r="E48" s="2" t="n">
        <v>0.053</v>
      </c>
    </row>
    <row r="49" customFormat="false" ht="15" hidden="false" customHeight="false" outlineLevel="0" collapsed="false">
      <c r="A49" s="2" t="s">
        <v>5</v>
      </c>
      <c r="B49" s="2" t="n">
        <v>3</v>
      </c>
      <c r="C49" s="2" t="n">
        <v>0.05</v>
      </c>
      <c r="D49" s="2" t="n">
        <v>3</v>
      </c>
      <c r="E49" s="2" t="n">
        <v>0.0607</v>
      </c>
    </row>
    <row r="50" customFormat="false" ht="15" hidden="false" customHeight="false" outlineLevel="0" collapsed="false">
      <c r="A50" s="2" t="s">
        <v>5</v>
      </c>
      <c r="B50" s="2" t="n">
        <v>3</v>
      </c>
      <c r="C50" s="2" t="n">
        <v>0.1</v>
      </c>
      <c r="D50" s="2" t="n">
        <v>1</v>
      </c>
      <c r="E50" s="2" t="n">
        <v>0.1051</v>
      </c>
    </row>
    <row r="51" customFormat="false" ht="15" hidden="false" customHeight="false" outlineLevel="0" collapsed="false">
      <c r="A51" s="2" t="s">
        <v>5</v>
      </c>
      <c r="B51" s="2" t="n">
        <v>3</v>
      </c>
      <c r="C51" s="2" t="n">
        <v>0.1</v>
      </c>
      <c r="D51" s="2" t="n">
        <v>2</v>
      </c>
      <c r="E51" s="2" t="n">
        <v>0.1045</v>
      </c>
    </row>
    <row r="52" customFormat="false" ht="15" hidden="false" customHeight="false" outlineLevel="0" collapsed="false">
      <c r="A52" s="2" t="s">
        <v>5</v>
      </c>
      <c r="B52" s="2" t="n">
        <v>3</v>
      </c>
      <c r="C52" s="2" t="n">
        <v>0.1</v>
      </c>
      <c r="D52" s="2" t="n">
        <v>3</v>
      </c>
      <c r="E52" s="2" t="n">
        <v>0.0939</v>
      </c>
    </row>
    <row r="53" customFormat="false" ht="15" hidden="false" customHeight="false" outlineLevel="0" collapsed="false">
      <c r="A53" s="2" t="s">
        <v>5</v>
      </c>
      <c r="B53" s="2" t="n">
        <v>3</v>
      </c>
      <c r="C53" s="2" t="n">
        <v>0.25</v>
      </c>
      <c r="D53" s="2" t="n">
        <v>1</v>
      </c>
      <c r="E53" s="2" t="n">
        <v>0.2227</v>
      </c>
    </row>
    <row r="54" customFormat="false" ht="15" hidden="false" customHeight="false" outlineLevel="0" collapsed="false">
      <c r="A54" s="2" t="s">
        <v>5</v>
      </c>
      <c r="B54" s="2" t="n">
        <v>3</v>
      </c>
      <c r="C54" s="2" t="n">
        <v>0.25</v>
      </c>
      <c r="D54" s="2" t="n">
        <v>2</v>
      </c>
      <c r="E54" s="2" t="n">
        <v>0.2265</v>
      </c>
    </row>
    <row r="55" customFormat="false" ht="15" hidden="false" customHeight="false" outlineLevel="0" collapsed="false">
      <c r="A55" s="2" t="s">
        <v>5</v>
      </c>
      <c r="B55" s="2" t="n">
        <v>3</v>
      </c>
      <c r="C55" s="2" t="n">
        <v>0.25</v>
      </c>
      <c r="D55" s="2" t="n">
        <v>3</v>
      </c>
      <c r="E55" s="2" t="n">
        <v>0.2304</v>
      </c>
    </row>
    <row r="56" customFormat="false" ht="15" hidden="false" customHeight="false" outlineLevel="0" collapsed="false">
      <c r="A56" s="2" t="s">
        <v>5</v>
      </c>
      <c r="B56" s="2" t="n">
        <v>3</v>
      </c>
      <c r="C56" s="2" t="n">
        <v>0.5</v>
      </c>
      <c r="D56" s="2" t="n">
        <v>1</v>
      </c>
      <c r="E56" s="2" t="n">
        <v>0.431</v>
      </c>
    </row>
    <row r="57" customFormat="false" ht="15" hidden="false" customHeight="false" outlineLevel="0" collapsed="false">
      <c r="A57" s="2" t="s">
        <v>5</v>
      </c>
      <c r="B57" s="2" t="n">
        <v>3</v>
      </c>
      <c r="C57" s="2" t="n">
        <v>0.5</v>
      </c>
      <c r="D57" s="2" t="n">
        <v>2</v>
      </c>
      <c r="E57" s="2" t="n">
        <v>0.4327</v>
      </c>
    </row>
    <row r="58" customFormat="false" ht="15" hidden="false" customHeight="false" outlineLevel="0" collapsed="false">
      <c r="A58" s="2" t="s">
        <v>5</v>
      </c>
      <c r="B58" s="2" t="n">
        <v>3</v>
      </c>
      <c r="C58" s="2" t="n">
        <v>0.5</v>
      </c>
      <c r="D58" s="2" t="n">
        <v>3</v>
      </c>
      <c r="E58" s="2" t="n">
        <v>0.4272</v>
      </c>
    </row>
    <row r="59" customFormat="false" ht="15" hidden="false" customHeight="false" outlineLevel="0" collapsed="false">
      <c r="A59" s="2" t="s">
        <v>5</v>
      </c>
      <c r="B59" s="2" t="n">
        <v>3</v>
      </c>
      <c r="C59" s="2" t="n">
        <v>1</v>
      </c>
      <c r="D59" s="2" t="n">
        <v>1</v>
      </c>
      <c r="E59" s="2" t="n">
        <v>0.8453</v>
      </c>
    </row>
    <row r="60" customFormat="false" ht="15" hidden="false" customHeight="false" outlineLevel="0" collapsed="false">
      <c r="A60" s="2" t="s">
        <v>5</v>
      </c>
      <c r="B60" s="2" t="n">
        <v>3</v>
      </c>
      <c r="C60" s="2" t="n">
        <v>1</v>
      </c>
      <c r="D60" s="2" t="n">
        <v>2</v>
      </c>
      <c r="E60" s="2" t="n">
        <v>0.8574</v>
      </c>
    </row>
    <row r="61" customFormat="false" ht="15" hidden="false" customHeight="false" outlineLevel="0" collapsed="false">
      <c r="A61" s="2" t="s">
        <v>5</v>
      </c>
      <c r="B61" s="2" t="n">
        <v>3</v>
      </c>
      <c r="C61" s="2" t="n">
        <v>1</v>
      </c>
      <c r="D61" s="2" t="n">
        <v>3</v>
      </c>
      <c r="E61" s="2" t="n">
        <v>0.8607</v>
      </c>
    </row>
    <row r="62" customFormat="false" ht="15" hidden="false" customHeight="false" outlineLevel="0" collapsed="false">
      <c r="A62" s="2" t="s">
        <v>5</v>
      </c>
      <c r="B62" s="2" t="n">
        <v>3</v>
      </c>
      <c r="C62" s="2" t="n">
        <v>2</v>
      </c>
      <c r="D62" s="2" t="n">
        <v>1</v>
      </c>
      <c r="E62" s="2" t="n">
        <v>1.6894</v>
      </c>
    </row>
    <row r="63" customFormat="false" ht="15" hidden="false" customHeight="false" outlineLevel="0" collapsed="false">
      <c r="A63" s="2" t="s">
        <v>5</v>
      </c>
      <c r="B63" s="2" t="n">
        <v>3</v>
      </c>
      <c r="C63" s="2" t="n">
        <v>2</v>
      </c>
      <c r="D63" s="2" t="n">
        <v>2</v>
      </c>
      <c r="E63" s="2" t="n">
        <v>1.6959</v>
      </c>
    </row>
    <row r="64" customFormat="false" ht="15" hidden="false" customHeight="false" outlineLevel="0" collapsed="false">
      <c r="A64" s="2" t="s">
        <v>5</v>
      </c>
      <c r="B64" s="2" t="n">
        <v>3</v>
      </c>
      <c r="C64" s="2" t="n">
        <v>2</v>
      </c>
      <c r="D64" s="2" t="n">
        <v>3</v>
      </c>
      <c r="E64" s="2" t="n">
        <v>1.692</v>
      </c>
    </row>
    <row r="65" customFormat="false" ht="15" hidden="false" customHeight="false" outlineLevel="0" collapsed="false">
      <c r="A65" s="2" t="s">
        <v>5</v>
      </c>
      <c r="B65" s="2" t="n">
        <v>4</v>
      </c>
      <c r="C65" s="2" t="n">
        <v>0</v>
      </c>
      <c r="D65" s="2" t="n">
        <v>1</v>
      </c>
      <c r="E65" s="2" t="n">
        <v>0.0223</v>
      </c>
    </row>
    <row r="66" customFormat="false" ht="15" hidden="false" customHeight="false" outlineLevel="0" collapsed="false">
      <c r="A66" s="2" t="s">
        <v>5</v>
      </c>
      <c r="B66" s="2" t="n">
        <v>4</v>
      </c>
      <c r="C66" s="2" t="n">
        <v>0</v>
      </c>
      <c r="D66" s="2" t="n">
        <v>2</v>
      </c>
      <c r="E66" s="2" t="n">
        <v>0.0129</v>
      </c>
    </row>
    <row r="67" customFormat="false" ht="15" hidden="false" customHeight="false" outlineLevel="0" collapsed="false">
      <c r="A67" s="2" t="s">
        <v>5</v>
      </c>
      <c r="B67" s="2" t="n">
        <v>4</v>
      </c>
      <c r="C67" s="2" t="n">
        <v>0</v>
      </c>
      <c r="D67" s="2" t="n">
        <v>3</v>
      </c>
      <c r="E67" s="2" t="n">
        <v>0.0225</v>
      </c>
    </row>
    <row r="68" customFormat="false" ht="15" hidden="false" customHeight="false" outlineLevel="0" collapsed="false">
      <c r="A68" s="2" t="s">
        <v>5</v>
      </c>
      <c r="B68" s="2" t="n">
        <v>4</v>
      </c>
      <c r="C68" s="2" t="n">
        <v>0.05</v>
      </c>
      <c r="D68" s="2" t="n">
        <v>1</v>
      </c>
      <c r="E68" s="2" t="n">
        <v>0.0391</v>
      </c>
    </row>
    <row r="69" customFormat="false" ht="15" hidden="false" customHeight="false" outlineLevel="0" collapsed="false">
      <c r="A69" s="2" t="s">
        <v>5</v>
      </c>
      <c r="B69" s="2" t="n">
        <v>4</v>
      </c>
      <c r="C69" s="2" t="n">
        <v>0.05</v>
      </c>
      <c r="D69" s="2" t="n">
        <v>2</v>
      </c>
      <c r="E69" s="2" t="n">
        <v>0.0598</v>
      </c>
    </row>
    <row r="70" customFormat="false" ht="15" hidden="false" customHeight="false" outlineLevel="0" collapsed="false">
      <c r="A70" s="2" t="s">
        <v>5</v>
      </c>
      <c r="B70" s="2" t="n">
        <v>4</v>
      </c>
      <c r="C70" s="2" t="n">
        <v>0.05</v>
      </c>
      <c r="D70" s="2" t="n">
        <v>3</v>
      </c>
      <c r="E70" s="2" t="n">
        <v>0.0554</v>
      </c>
    </row>
    <row r="71" customFormat="false" ht="15" hidden="false" customHeight="false" outlineLevel="0" collapsed="false">
      <c r="A71" s="2" t="s">
        <v>5</v>
      </c>
      <c r="B71" s="2" t="n">
        <v>4</v>
      </c>
      <c r="C71" s="2" t="n">
        <v>0.1</v>
      </c>
      <c r="D71" s="2" t="n">
        <v>1</v>
      </c>
      <c r="E71" s="2" t="n">
        <v>0.0948</v>
      </c>
    </row>
    <row r="72" customFormat="false" ht="15" hidden="false" customHeight="false" outlineLevel="0" collapsed="false">
      <c r="A72" s="2" t="s">
        <v>5</v>
      </c>
      <c r="B72" s="2" t="n">
        <v>4</v>
      </c>
      <c r="C72" s="2" t="n">
        <v>0.1</v>
      </c>
      <c r="D72" s="2" t="n">
        <v>2</v>
      </c>
      <c r="E72" s="2" t="n">
        <v>0.0972</v>
      </c>
    </row>
    <row r="73" customFormat="false" ht="15" hidden="false" customHeight="false" outlineLevel="0" collapsed="false">
      <c r="A73" s="2" t="s">
        <v>5</v>
      </c>
      <c r="B73" s="2" t="n">
        <v>4</v>
      </c>
      <c r="C73" s="2" t="n">
        <v>0.1</v>
      </c>
      <c r="D73" s="2" t="n">
        <v>3</v>
      </c>
      <c r="E73" s="2" t="n">
        <v>0.0847</v>
      </c>
    </row>
    <row r="74" customFormat="false" ht="15" hidden="false" customHeight="false" outlineLevel="0" collapsed="false">
      <c r="A74" s="2" t="s">
        <v>5</v>
      </c>
      <c r="B74" s="2" t="n">
        <v>4</v>
      </c>
      <c r="C74" s="2" t="n">
        <v>0.25</v>
      </c>
      <c r="D74" s="2" t="n">
        <v>1</v>
      </c>
      <c r="E74" s="2" t="n">
        <v>0.2206</v>
      </c>
    </row>
    <row r="75" customFormat="false" ht="15" hidden="false" customHeight="false" outlineLevel="0" collapsed="false">
      <c r="A75" s="2" t="s">
        <v>5</v>
      </c>
      <c r="B75" s="2" t="n">
        <v>4</v>
      </c>
      <c r="C75" s="2" t="n">
        <v>0.25</v>
      </c>
      <c r="D75" s="2" t="n">
        <v>2</v>
      </c>
      <c r="E75" s="2" t="n">
        <v>0.2241</v>
      </c>
    </row>
    <row r="76" customFormat="false" ht="15" hidden="false" customHeight="false" outlineLevel="0" collapsed="false">
      <c r="A76" s="2" t="s">
        <v>5</v>
      </c>
      <c r="B76" s="2" t="n">
        <v>4</v>
      </c>
      <c r="C76" s="2" t="n">
        <v>0.25</v>
      </c>
      <c r="D76" s="2" t="n">
        <v>3</v>
      </c>
      <c r="E76" s="2" t="n">
        <v>0.2308</v>
      </c>
    </row>
    <row r="77" customFormat="false" ht="15" hidden="false" customHeight="false" outlineLevel="0" collapsed="false">
      <c r="A77" s="2" t="s">
        <v>5</v>
      </c>
      <c r="B77" s="2" t="n">
        <v>4</v>
      </c>
      <c r="C77" s="2" t="n">
        <v>0.5</v>
      </c>
      <c r="D77" s="2" t="n">
        <v>1</v>
      </c>
      <c r="E77" s="2" t="n">
        <v>0.4277</v>
      </c>
    </row>
    <row r="78" customFormat="false" ht="15" hidden="false" customHeight="false" outlineLevel="0" collapsed="false">
      <c r="A78" s="2" t="s">
        <v>5</v>
      </c>
      <c r="B78" s="2" t="n">
        <v>4</v>
      </c>
      <c r="C78" s="2" t="n">
        <v>0.5</v>
      </c>
      <c r="D78" s="2" t="n">
        <v>2</v>
      </c>
      <c r="E78" s="2" t="n">
        <v>0.426</v>
      </c>
    </row>
    <row r="79" customFormat="false" ht="15" hidden="false" customHeight="false" outlineLevel="0" collapsed="false">
      <c r="A79" s="2" t="s">
        <v>5</v>
      </c>
      <c r="B79" s="2" t="n">
        <v>4</v>
      </c>
      <c r="C79" s="2" t="n">
        <v>0.5</v>
      </c>
      <c r="D79" s="2" t="n">
        <v>3</v>
      </c>
      <c r="E79" s="2" t="n">
        <v>0.4278</v>
      </c>
    </row>
    <row r="80" customFormat="false" ht="15" hidden="false" customHeight="false" outlineLevel="0" collapsed="false">
      <c r="A80" s="2" t="s">
        <v>5</v>
      </c>
      <c r="B80" s="2" t="n">
        <v>4</v>
      </c>
      <c r="C80" s="2" t="n">
        <v>1</v>
      </c>
      <c r="D80" s="2" t="n">
        <v>1</v>
      </c>
      <c r="E80" s="2" t="n">
        <v>0.8541</v>
      </c>
    </row>
    <row r="81" customFormat="false" ht="15" hidden="false" customHeight="false" outlineLevel="0" collapsed="false">
      <c r="A81" s="2" t="s">
        <v>5</v>
      </c>
      <c r="B81" s="2" t="n">
        <v>4</v>
      </c>
      <c r="C81" s="2" t="n">
        <v>1</v>
      </c>
      <c r="D81" s="2" t="n">
        <v>2</v>
      </c>
      <c r="E81" s="2" t="n">
        <v>0.8505</v>
      </c>
    </row>
    <row r="82" customFormat="false" ht="15" hidden="false" customHeight="false" outlineLevel="0" collapsed="false">
      <c r="A82" s="2" t="s">
        <v>5</v>
      </c>
      <c r="B82" s="2" t="n">
        <v>4</v>
      </c>
      <c r="C82" s="2" t="n">
        <v>1</v>
      </c>
      <c r="D82" s="2" t="n">
        <v>3</v>
      </c>
      <c r="E82" s="2" t="n">
        <v>0.8454</v>
      </c>
    </row>
    <row r="83" customFormat="false" ht="15" hidden="false" customHeight="false" outlineLevel="0" collapsed="false">
      <c r="A83" s="2" t="s">
        <v>5</v>
      </c>
      <c r="B83" s="2" t="n">
        <v>4</v>
      </c>
      <c r="C83" s="2" t="n">
        <v>2</v>
      </c>
      <c r="D83" s="2" t="n">
        <v>1</v>
      </c>
      <c r="E83" s="2" t="n">
        <v>1.6871</v>
      </c>
    </row>
    <row r="84" customFormat="false" ht="15" hidden="false" customHeight="false" outlineLevel="0" collapsed="false">
      <c r="A84" s="2" t="s">
        <v>5</v>
      </c>
      <c r="B84" s="2" t="n">
        <v>4</v>
      </c>
      <c r="C84" s="2" t="n">
        <v>2</v>
      </c>
      <c r="D84" s="2" t="n">
        <v>2</v>
      </c>
      <c r="E84" s="2" t="n">
        <v>1.6846</v>
      </c>
    </row>
    <row r="85" customFormat="false" ht="15" hidden="false" customHeight="false" outlineLevel="0" collapsed="false">
      <c r="A85" s="2" t="s">
        <v>5</v>
      </c>
      <c r="B85" s="2" t="n">
        <v>4</v>
      </c>
      <c r="C85" s="2" t="n">
        <v>2</v>
      </c>
      <c r="D85" s="2" t="n">
        <v>3</v>
      </c>
      <c r="E85" s="2" t="n">
        <v>1.6899</v>
      </c>
    </row>
    <row r="86" customFormat="false" ht="15" hidden="false" customHeight="false" outlineLevel="0" collapsed="false">
      <c r="A86" s="2" t="s">
        <v>5</v>
      </c>
      <c r="B86" s="2" t="n">
        <v>5</v>
      </c>
      <c r="C86" s="2" t="n">
        <v>0</v>
      </c>
      <c r="D86" s="2" t="n">
        <v>1</v>
      </c>
      <c r="E86" s="2" t="n">
        <v>0.0087</v>
      </c>
    </row>
    <row r="87" customFormat="false" ht="15" hidden="false" customHeight="false" outlineLevel="0" collapsed="false">
      <c r="A87" s="2" t="s">
        <v>5</v>
      </c>
      <c r="B87" s="2" t="n">
        <v>5</v>
      </c>
      <c r="C87" s="2" t="n">
        <v>0</v>
      </c>
      <c r="D87" s="2" t="n">
        <v>2</v>
      </c>
      <c r="E87" s="2" t="n">
        <v>0.0022</v>
      </c>
    </row>
    <row r="88" customFormat="false" ht="15" hidden="false" customHeight="false" outlineLevel="0" collapsed="false">
      <c r="A88" s="2" t="s">
        <v>5</v>
      </c>
      <c r="B88" s="2" t="n">
        <v>5</v>
      </c>
      <c r="C88" s="2" t="n">
        <v>0</v>
      </c>
      <c r="D88" s="2" t="n">
        <v>3</v>
      </c>
      <c r="E88" s="2" t="n">
        <v>0.0128</v>
      </c>
    </row>
    <row r="89" customFormat="false" ht="15" hidden="false" customHeight="false" outlineLevel="0" collapsed="false">
      <c r="A89" s="2" t="s">
        <v>5</v>
      </c>
      <c r="B89" s="2" t="n">
        <v>5</v>
      </c>
      <c r="C89" s="2" t="n">
        <v>0.05</v>
      </c>
      <c r="D89" s="2" t="n">
        <v>1</v>
      </c>
      <c r="E89" s="2" t="n">
        <v>0.0543</v>
      </c>
    </row>
    <row r="90" customFormat="false" ht="15" hidden="false" customHeight="false" outlineLevel="0" collapsed="false">
      <c r="A90" s="2" t="s">
        <v>5</v>
      </c>
      <c r="B90" s="2" t="n">
        <v>5</v>
      </c>
      <c r="C90" s="2" t="n">
        <v>0.05</v>
      </c>
      <c r="D90" s="2" t="n">
        <v>2</v>
      </c>
      <c r="E90" s="2" t="n">
        <v>0.0528</v>
      </c>
    </row>
    <row r="91" customFormat="false" ht="15" hidden="false" customHeight="false" outlineLevel="0" collapsed="false">
      <c r="A91" s="2" t="s">
        <v>5</v>
      </c>
      <c r="B91" s="2" t="n">
        <v>5</v>
      </c>
      <c r="C91" s="2" t="n">
        <v>0.05</v>
      </c>
      <c r="D91" s="2" t="n">
        <v>3</v>
      </c>
      <c r="E91" s="2" t="n">
        <v>0.0514</v>
      </c>
    </row>
    <row r="92" customFormat="false" ht="15" hidden="false" customHeight="false" outlineLevel="0" collapsed="false">
      <c r="A92" s="2" t="s">
        <v>5</v>
      </c>
      <c r="B92" s="2" t="n">
        <v>5</v>
      </c>
      <c r="C92" s="2" t="n">
        <v>0.1</v>
      </c>
      <c r="D92" s="2" t="n">
        <v>1</v>
      </c>
      <c r="E92" s="2" t="n">
        <v>0.086</v>
      </c>
    </row>
    <row r="93" customFormat="false" ht="15" hidden="false" customHeight="false" outlineLevel="0" collapsed="false">
      <c r="A93" s="2" t="s">
        <v>5</v>
      </c>
      <c r="B93" s="2" t="n">
        <v>5</v>
      </c>
      <c r="C93" s="2" t="n">
        <v>0.1</v>
      </c>
      <c r="D93" s="2" t="n">
        <v>2</v>
      </c>
      <c r="E93" s="2" t="n">
        <v>0.092</v>
      </c>
    </row>
    <row r="94" customFormat="false" ht="15" hidden="false" customHeight="false" outlineLevel="0" collapsed="false">
      <c r="A94" s="2" t="s">
        <v>5</v>
      </c>
      <c r="B94" s="2" t="n">
        <v>5</v>
      </c>
      <c r="C94" s="2" t="n">
        <v>0.1</v>
      </c>
      <c r="D94" s="2" t="n">
        <v>3</v>
      </c>
      <c r="E94" s="2" t="n">
        <v>0.0925</v>
      </c>
    </row>
    <row r="95" customFormat="false" ht="15" hidden="false" customHeight="false" outlineLevel="0" collapsed="false">
      <c r="A95" s="2" t="s">
        <v>5</v>
      </c>
      <c r="B95" s="2" t="n">
        <v>5</v>
      </c>
      <c r="C95" s="2" t="n">
        <v>0.25</v>
      </c>
      <c r="D95" s="2" t="n">
        <v>1</v>
      </c>
      <c r="E95" s="2" t="n">
        <v>0.2149</v>
      </c>
    </row>
    <row r="96" customFormat="false" ht="15" hidden="false" customHeight="false" outlineLevel="0" collapsed="false">
      <c r="A96" s="2" t="s">
        <v>5</v>
      </c>
      <c r="B96" s="2" t="n">
        <v>5</v>
      </c>
      <c r="C96" s="2" t="n">
        <v>0.25</v>
      </c>
      <c r="D96" s="2" t="n">
        <v>2</v>
      </c>
      <c r="E96" s="2" t="n">
        <v>0.2188</v>
      </c>
    </row>
    <row r="97" customFormat="false" ht="15" hidden="false" customHeight="false" outlineLevel="0" collapsed="false">
      <c r="A97" s="2" t="s">
        <v>5</v>
      </c>
      <c r="B97" s="2" t="n">
        <v>5</v>
      </c>
      <c r="C97" s="2" t="n">
        <v>0.25</v>
      </c>
      <c r="D97" s="2" t="n">
        <v>3</v>
      </c>
      <c r="E97" s="2" t="n">
        <v>0.2222</v>
      </c>
    </row>
    <row r="98" customFormat="false" ht="15" hidden="false" customHeight="false" outlineLevel="0" collapsed="false">
      <c r="A98" s="2" t="s">
        <v>5</v>
      </c>
      <c r="B98" s="2" t="n">
        <v>5</v>
      </c>
      <c r="C98" s="2" t="n">
        <v>0.5</v>
      </c>
      <c r="D98" s="2" t="n">
        <v>1</v>
      </c>
      <c r="E98" s="2" t="n">
        <v>0.4398</v>
      </c>
    </row>
    <row r="99" customFormat="false" ht="15" hidden="false" customHeight="false" outlineLevel="0" collapsed="false">
      <c r="A99" s="2" t="s">
        <v>5</v>
      </c>
      <c r="B99" s="2" t="n">
        <v>5</v>
      </c>
      <c r="C99" s="2" t="n">
        <v>0.5</v>
      </c>
      <c r="D99" s="2" t="n">
        <v>2</v>
      </c>
      <c r="E99" s="2" t="n">
        <v>0.4295</v>
      </c>
    </row>
    <row r="100" customFormat="false" ht="15" hidden="false" customHeight="false" outlineLevel="0" collapsed="false">
      <c r="A100" s="2" t="s">
        <v>5</v>
      </c>
      <c r="B100" s="2" t="n">
        <v>5</v>
      </c>
      <c r="C100" s="2" t="n">
        <v>0.5</v>
      </c>
      <c r="D100" s="2" t="n">
        <v>3</v>
      </c>
      <c r="E100" s="2" t="n">
        <v>0.43</v>
      </c>
    </row>
    <row r="101" customFormat="false" ht="15" hidden="false" customHeight="false" outlineLevel="0" collapsed="false">
      <c r="A101" s="2" t="s">
        <v>5</v>
      </c>
      <c r="B101" s="2" t="n">
        <v>5</v>
      </c>
      <c r="C101" s="2" t="n">
        <v>1</v>
      </c>
      <c r="D101" s="2" t="n">
        <v>1</v>
      </c>
      <c r="E101" s="2" t="n">
        <v>0.8455</v>
      </c>
    </row>
    <row r="102" customFormat="false" ht="15" hidden="false" customHeight="false" outlineLevel="0" collapsed="false">
      <c r="A102" s="2" t="s">
        <v>5</v>
      </c>
      <c r="B102" s="2" t="n">
        <v>5</v>
      </c>
      <c r="C102" s="2" t="n">
        <v>1</v>
      </c>
      <c r="D102" s="2" t="n">
        <v>2</v>
      </c>
      <c r="E102" s="2" t="n">
        <v>0.8344</v>
      </c>
    </row>
    <row r="103" customFormat="false" ht="15" hidden="false" customHeight="false" outlineLevel="0" collapsed="false">
      <c r="A103" s="2" t="s">
        <v>5</v>
      </c>
      <c r="B103" s="2" t="n">
        <v>5</v>
      </c>
      <c r="C103" s="2" t="n">
        <v>1</v>
      </c>
      <c r="D103" s="2" t="n">
        <v>3</v>
      </c>
      <c r="E103" s="2" t="n">
        <v>0.8458</v>
      </c>
    </row>
    <row r="104" customFormat="false" ht="15" hidden="false" customHeight="false" outlineLevel="0" collapsed="false">
      <c r="A104" s="2" t="s">
        <v>5</v>
      </c>
      <c r="B104" s="2" t="n">
        <v>5</v>
      </c>
      <c r="C104" s="2" t="n">
        <v>2</v>
      </c>
      <c r="D104" s="2" t="n">
        <v>1</v>
      </c>
      <c r="E104" s="2" t="n">
        <v>1.6812</v>
      </c>
    </row>
    <row r="105" customFormat="false" ht="15" hidden="false" customHeight="false" outlineLevel="0" collapsed="false">
      <c r="A105" s="2" t="s">
        <v>5</v>
      </c>
      <c r="B105" s="2" t="n">
        <v>5</v>
      </c>
      <c r="C105" s="2" t="n">
        <v>2</v>
      </c>
      <c r="D105" s="2" t="n">
        <v>2</v>
      </c>
      <c r="E105" s="2" t="n">
        <v>1.6956</v>
      </c>
    </row>
    <row r="106" customFormat="false" ht="15" hidden="false" customHeight="false" outlineLevel="0" collapsed="false">
      <c r="A106" s="2" t="s">
        <v>5</v>
      </c>
      <c r="B106" s="2" t="n">
        <v>5</v>
      </c>
      <c r="C106" s="2" t="n">
        <v>2</v>
      </c>
      <c r="D106" s="2" t="n">
        <v>3</v>
      </c>
      <c r="E106" s="2" t="n">
        <v>1.6797</v>
      </c>
    </row>
    <row r="107" customFormat="false" ht="15" hidden="false" customHeight="false" outlineLevel="0" collapsed="false">
      <c r="A107" s="2" t="s">
        <v>6</v>
      </c>
      <c r="B107" s="2" t="n">
        <v>1</v>
      </c>
      <c r="C107" s="2" t="n">
        <v>0</v>
      </c>
      <c r="D107" s="2" t="n">
        <v>1</v>
      </c>
      <c r="E107" s="2" t="n">
        <v>0</v>
      </c>
    </row>
    <row r="108" customFormat="false" ht="15" hidden="false" customHeight="false" outlineLevel="0" collapsed="false">
      <c r="A108" s="2" t="s">
        <v>6</v>
      </c>
      <c r="B108" s="2" t="n">
        <v>1</v>
      </c>
      <c r="C108" s="2" t="n">
        <v>0</v>
      </c>
      <c r="D108" s="2" t="n">
        <v>2</v>
      </c>
      <c r="E108" s="2" t="n">
        <v>0.0159</v>
      </c>
    </row>
    <row r="109" customFormat="false" ht="15" hidden="false" customHeight="false" outlineLevel="0" collapsed="false">
      <c r="A109" s="2" t="s">
        <v>6</v>
      </c>
      <c r="B109" s="2" t="n">
        <v>1</v>
      </c>
      <c r="C109" s="2" t="n">
        <v>0</v>
      </c>
      <c r="D109" s="2" t="n">
        <v>3</v>
      </c>
      <c r="E109" s="2" t="n">
        <v>0.0132</v>
      </c>
    </row>
    <row r="110" customFormat="false" ht="15" hidden="false" customHeight="false" outlineLevel="0" collapsed="false">
      <c r="A110" s="2" t="s">
        <v>6</v>
      </c>
      <c r="B110" s="2" t="n">
        <v>1</v>
      </c>
      <c r="C110" s="2" t="n">
        <v>0.05</v>
      </c>
      <c r="D110" s="2" t="n">
        <v>1</v>
      </c>
      <c r="E110" s="2" t="n">
        <v>0.0729</v>
      </c>
    </row>
    <row r="111" customFormat="false" ht="15" hidden="false" customHeight="false" outlineLevel="0" collapsed="false">
      <c r="A111" s="2" t="s">
        <v>6</v>
      </c>
      <c r="B111" s="2" t="n">
        <v>1</v>
      </c>
      <c r="C111" s="2" t="n">
        <v>0.05</v>
      </c>
      <c r="D111" s="2" t="n">
        <v>2</v>
      </c>
      <c r="E111" s="2" t="n">
        <v>0.061</v>
      </c>
    </row>
    <row r="112" customFormat="false" ht="15" hidden="false" customHeight="false" outlineLevel="0" collapsed="false">
      <c r="A112" s="2" t="s">
        <v>6</v>
      </c>
      <c r="B112" s="2" t="n">
        <v>1</v>
      </c>
      <c r="C112" s="2" t="n">
        <v>0.05</v>
      </c>
      <c r="D112" s="2" t="n">
        <v>3</v>
      </c>
      <c r="E112" s="2" t="n">
        <v>0.0772</v>
      </c>
    </row>
    <row r="113" customFormat="false" ht="15" hidden="false" customHeight="false" outlineLevel="0" collapsed="false">
      <c r="A113" s="2" t="s">
        <v>6</v>
      </c>
      <c r="B113" s="2" t="n">
        <v>1</v>
      </c>
      <c r="C113" s="2" t="n">
        <v>0.1</v>
      </c>
      <c r="D113" s="2" t="n">
        <v>1</v>
      </c>
      <c r="E113" s="2" t="n">
        <v>0.117</v>
      </c>
    </row>
    <row r="114" customFormat="false" ht="15" hidden="false" customHeight="false" outlineLevel="0" collapsed="false">
      <c r="A114" s="2" t="s">
        <v>6</v>
      </c>
      <c r="B114" s="2" t="n">
        <v>1</v>
      </c>
      <c r="C114" s="2" t="n">
        <v>0.1</v>
      </c>
      <c r="D114" s="2" t="n">
        <v>2</v>
      </c>
      <c r="E114" s="2" t="n">
        <v>0.1309</v>
      </c>
    </row>
    <row r="115" customFormat="false" ht="15" hidden="false" customHeight="false" outlineLevel="0" collapsed="false">
      <c r="A115" s="2" t="s">
        <v>6</v>
      </c>
      <c r="B115" s="2" t="n">
        <v>1</v>
      </c>
      <c r="C115" s="2" t="n">
        <v>0.1</v>
      </c>
      <c r="D115" s="2" t="n">
        <v>3</v>
      </c>
      <c r="E115" s="2" t="n">
        <v>0.1422</v>
      </c>
    </row>
    <row r="116" customFormat="false" ht="15" hidden="false" customHeight="false" outlineLevel="0" collapsed="false">
      <c r="A116" s="2" t="s">
        <v>6</v>
      </c>
      <c r="B116" s="2" t="n">
        <v>1</v>
      </c>
      <c r="C116" s="2" t="n">
        <v>0.25</v>
      </c>
      <c r="D116" s="2" t="n">
        <v>1</v>
      </c>
      <c r="E116" s="2" t="n">
        <v>0.2983</v>
      </c>
    </row>
    <row r="117" customFormat="false" ht="15" hidden="false" customHeight="false" outlineLevel="0" collapsed="false">
      <c r="A117" s="2" t="s">
        <v>6</v>
      </c>
      <c r="B117" s="2" t="n">
        <v>1</v>
      </c>
      <c r="C117" s="2" t="n">
        <v>0.25</v>
      </c>
      <c r="D117" s="2" t="n">
        <v>2</v>
      </c>
      <c r="E117" s="2" t="n">
        <v>0.3013</v>
      </c>
    </row>
    <row r="118" customFormat="false" ht="15" hidden="false" customHeight="false" outlineLevel="0" collapsed="false">
      <c r="A118" s="2" t="s">
        <v>6</v>
      </c>
      <c r="B118" s="2" t="n">
        <v>1</v>
      </c>
      <c r="C118" s="2" t="n">
        <v>0.25</v>
      </c>
      <c r="D118" s="2" t="n">
        <v>3</v>
      </c>
      <c r="E118" s="2" t="n">
        <v>0.3059</v>
      </c>
    </row>
    <row r="119" customFormat="false" ht="15" hidden="false" customHeight="false" outlineLevel="0" collapsed="false">
      <c r="A119" s="2" t="s">
        <v>6</v>
      </c>
      <c r="B119" s="2" t="n">
        <v>1</v>
      </c>
      <c r="C119" s="2" t="n">
        <v>0.5</v>
      </c>
      <c r="D119" s="2" t="n">
        <v>1</v>
      </c>
      <c r="E119" s="2" t="n">
        <v>0.599</v>
      </c>
    </row>
    <row r="120" customFormat="false" ht="15" hidden="false" customHeight="false" outlineLevel="0" collapsed="false">
      <c r="A120" s="2" t="s">
        <v>6</v>
      </c>
      <c r="B120" s="2" t="n">
        <v>1</v>
      </c>
      <c r="C120" s="2" t="n">
        <v>0.5</v>
      </c>
      <c r="D120" s="2" t="n">
        <v>2</v>
      </c>
      <c r="E120" s="2" t="n">
        <v>0.5917</v>
      </c>
    </row>
    <row r="121" customFormat="false" ht="15" hidden="false" customHeight="false" outlineLevel="0" collapsed="false">
      <c r="A121" s="2" t="s">
        <v>6</v>
      </c>
      <c r="B121" s="2" t="n">
        <v>1</v>
      </c>
      <c r="C121" s="2" t="n">
        <v>0.5</v>
      </c>
      <c r="D121" s="2" t="n">
        <v>3</v>
      </c>
      <c r="E121" s="2" t="n">
        <v>0.603</v>
      </c>
    </row>
    <row r="122" customFormat="false" ht="15" hidden="false" customHeight="false" outlineLevel="0" collapsed="false">
      <c r="A122" s="2" t="s">
        <v>6</v>
      </c>
      <c r="B122" s="2" t="n">
        <v>1</v>
      </c>
      <c r="C122" s="2" t="n">
        <v>1</v>
      </c>
      <c r="D122" s="2" t="n">
        <v>1</v>
      </c>
      <c r="E122" s="2" t="n">
        <v>1.1897</v>
      </c>
    </row>
    <row r="123" customFormat="false" ht="15" hidden="false" customHeight="false" outlineLevel="0" collapsed="false">
      <c r="A123" s="2" t="s">
        <v>6</v>
      </c>
      <c r="B123" s="2" t="n">
        <v>1</v>
      </c>
      <c r="C123" s="2" t="n">
        <v>1</v>
      </c>
      <c r="D123" s="2" t="n">
        <v>2</v>
      </c>
      <c r="E123" s="2" t="n">
        <v>1.2005</v>
      </c>
    </row>
    <row r="124" customFormat="false" ht="15" hidden="false" customHeight="false" outlineLevel="0" collapsed="false">
      <c r="A124" s="2" t="s">
        <v>6</v>
      </c>
      <c r="B124" s="2" t="n">
        <v>1</v>
      </c>
      <c r="C124" s="2" t="n">
        <v>1</v>
      </c>
      <c r="D124" s="2" t="n">
        <v>3</v>
      </c>
      <c r="E124" s="2" t="n">
        <v>1.1907</v>
      </c>
    </row>
    <row r="125" customFormat="false" ht="15" hidden="false" customHeight="false" outlineLevel="0" collapsed="false">
      <c r="A125" s="2" t="s">
        <v>6</v>
      </c>
      <c r="B125" s="2" t="n">
        <v>1</v>
      </c>
      <c r="C125" s="2" t="n">
        <v>2</v>
      </c>
      <c r="D125" s="2" t="n">
        <v>1</v>
      </c>
      <c r="E125" s="2" t="n">
        <v>2.3973</v>
      </c>
    </row>
    <row r="126" customFormat="false" ht="15" hidden="false" customHeight="false" outlineLevel="0" collapsed="false">
      <c r="A126" s="2" t="s">
        <v>6</v>
      </c>
      <c r="B126" s="2" t="n">
        <v>1</v>
      </c>
      <c r="C126" s="2" t="n">
        <v>2</v>
      </c>
      <c r="D126" s="2" t="n">
        <v>2</v>
      </c>
      <c r="E126" s="2" t="n">
        <v>2.381</v>
      </c>
    </row>
    <row r="127" customFormat="false" ht="15" hidden="false" customHeight="false" outlineLevel="0" collapsed="false">
      <c r="A127" s="2" t="s">
        <v>6</v>
      </c>
      <c r="B127" s="2" t="n">
        <v>1</v>
      </c>
      <c r="C127" s="2" t="n">
        <v>2</v>
      </c>
      <c r="D127" s="2" t="n">
        <v>3</v>
      </c>
      <c r="E127" s="2" t="n">
        <v>2.3842</v>
      </c>
    </row>
    <row r="128" customFormat="false" ht="15" hidden="false" customHeight="false" outlineLevel="0" collapsed="false">
      <c r="A128" s="2" t="s">
        <v>6</v>
      </c>
      <c r="B128" s="2" t="n">
        <v>2</v>
      </c>
      <c r="C128" s="2" t="n">
        <v>0</v>
      </c>
      <c r="D128" s="2" t="n">
        <v>1</v>
      </c>
      <c r="E128" s="2" t="n">
        <v>0.0059</v>
      </c>
    </row>
    <row r="129" customFormat="false" ht="15" hidden="false" customHeight="false" outlineLevel="0" collapsed="false">
      <c r="A129" s="2" t="s">
        <v>6</v>
      </c>
      <c r="B129" s="2" t="n">
        <v>2</v>
      </c>
      <c r="C129" s="2" t="n">
        <v>0</v>
      </c>
      <c r="D129" s="2" t="n">
        <v>2</v>
      </c>
      <c r="E129" s="2" t="n">
        <v>0.0135</v>
      </c>
    </row>
    <row r="130" customFormat="false" ht="15" hidden="false" customHeight="false" outlineLevel="0" collapsed="false">
      <c r="A130" s="2" t="s">
        <v>6</v>
      </c>
      <c r="B130" s="2" t="n">
        <v>2</v>
      </c>
      <c r="C130" s="2" t="n">
        <v>0</v>
      </c>
      <c r="D130" s="2" t="n">
        <v>3</v>
      </c>
      <c r="E130" s="2" t="n">
        <v>0</v>
      </c>
    </row>
    <row r="131" customFormat="false" ht="15" hidden="false" customHeight="false" outlineLevel="0" collapsed="false">
      <c r="A131" s="2" t="s">
        <v>6</v>
      </c>
      <c r="B131" s="2" t="n">
        <v>2</v>
      </c>
      <c r="C131" s="2" t="n">
        <v>0.05</v>
      </c>
      <c r="D131" s="2" t="n">
        <v>1</v>
      </c>
      <c r="E131" s="2" t="n">
        <v>0.0654</v>
      </c>
    </row>
    <row r="132" customFormat="false" ht="15" hidden="false" customHeight="false" outlineLevel="0" collapsed="false">
      <c r="A132" s="2" t="s">
        <v>6</v>
      </c>
      <c r="B132" s="2" t="n">
        <v>2</v>
      </c>
      <c r="C132" s="2" t="n">
        <v>0.05</v>
      </c>
      <c r="D132" s="2" t="n">
        <v>2</v>
      </c>
      <c r="E132" s="2" t="n">
        <v>0.066</v>
      </c>
    </row>
    <row r="133" customFormat="false" ht="15" hidden="false" customHeight="false" outlineLevel="0" collapsed="false">
      <c r="A133" s="2" t="s">
        <v>6</v>
      </c>
      <c r="B133" s="2" t="n">
        <v>2</v>
      </c>
      <c r="C133" s="2" t="n">
        <v>0.05</v>
      </c>
      <c r="D133" s="2" t="n">
        <v>3</v>
      </c>
      <c r="E133" s="2" t="n">
        <v>0.0696</v>
      </c>
    </row>
    <row r="134" customFormat="false" ht="15" hidden="false" customHeight="false" outlineLevel="0" collapsed="false">
      <c r="A134" s="2" t="s">
        <v>6</v>
      </c>
      <c r="B134" s="2" t="n">
        <v>2</v>
      </c>
      <c r="C134" s="2" t="n">
        <v>0.1</v>
      </c>
      <c r="D134" s="2" t="n">
        <v>1</v>
      </c>
      <c r="E134" s="2" t="n">
        <v>0.1153</v>
      </c>
    </row>
    <row r="135" customFormat="false" ht="15" hidden="false" customHeight="false" outlineLevel="0" collapsed="false">
      <c r="A135" s="2" t="s">
        <v>6</v>
      </c>
      <c r="B135" s="2" t="n">
        <v>2</v>
      </c>
      <c r="C135" s="2" t="n">
        <v>0.1</v>
      </c>
      <c r="D135" s="2" t="n">
        <v>2</v>
      </c>
      <c r="E135" s="2" t="n">
        <v>0.1147</v>
      </c>
    </row>
    <row r="136" customFormat="false" ht="15" hidden="false" customHeight="false" outlineLevel="0" collapsed="false">
      <c r="A136" s="2" t="s">
        <v>6</v>
      </c>
      <c r="B136" s="2" t="n">
        <v>2</v>
      </c>
      <c r="C136" s="2" t="n">
        <v>0.1</v>
      </c>
      <c r="D136" s="2" t="n">
        <v>3</v>
      </c>
      <c r="E136" s="2" t="n">
        <v>0.1276</v>
      </c>
    </row>
    <row r="137" customFormat="false" ht="15" hidden="false" customHeight="false" outlineLevel="0" collapsed="false">
      <c r="A137" s="2" t="s">
        <v>6</v>
      </c>
      <c r="B137" s="2" t="n">
        <v>2</v>
      </c>
      <c r="C137" s="2" t="n">
        <v>0.25</v>
      </c>
      <c r="D137" s="2" t="n">
        <v>1</v>
      </c>
      <c r="E137" s="2" t="n">
        <v>0.3055</v>
      </c>
    </row>
    <row r="138" customFormat="false" ht="15" hidden="false" customHeight="false" outlineLevel="0" collapsed="false">
      <c r="A138" s="2" t="s">
        <v>6</v>
      </c>
      <c r="B138" s="2" t="n">
        <v>2</v>
      </c>
      <c r="C138" s="2" t="n">
        <v>0.25</v>
      </c>
      <c r="D138" s="2" t="n">
        <v>2</v>
      </c>
      <c r="E138" s="2" t="n">
        <v>0.3052</v>
      </c>
    </row>
    <row r="139" customFormat="false" ht="15" hidden="false" customHeight="false" outlineLevel="0" collapsed="false">
      <c r="A139" s="2" t="s">
        <v>6</v>
      </c>
      <c r="B139" s="2" t="n">
        <v>2</v>
      </c>
      <c r="C139" s="2" t="n">
        <v>0.25</v>
      </c>
      <c r="D139" s="2" t="n">
        <v>3</v>
      </c>
      <c r="E139" s="2" t="n">
        <v>0.3059</v>
      </c>
    </row>
    <row r="140" customFormat="false" ht="15" hidden="false" customHeight="false" outlineLevel="0" collapsed="false">
      <c r="A140" s="2" t="s">
        <v>6</v>
      </c>
      <c r="B140" s="2" t="n">
        <v>2</v>
      </c>
      <c r="C140" s="2" t="n">
        <v>0.5</v>
      </c>
      <c r="D140" s="2" t="n">
        <v>1</v>
      </c>
      <c r="E140" s="2" t="n">
        <v>0.5978</v>
      </c>
    </row>
    <row r="141" customFormat="false" ht="15" hidden="false" customHeight="false" outlineLevel="0" collapsed="false">
      <c r="A141" s="2" t="s">
        <v>6</v>
      </c>
      <c r="B141" s="2" t="n">
        <v>2</v>
      </c>
      <c r="C141" s="2" t="n">
        <v>0.5</v>
      </c>
      <c r="D141" s="2" t="n">
        <v>2</v>
      </c>
      <c r="E141" s="2" t="n">
        <v>0.6042</v>
      </c>
    </row>
    <row r="142" customFormat="false" ht="15" hidden="false" customHeight="false" outlineLevel="0" collapsed="false">
      <c r="A142" s="2" t="s">
        <v>6</v>
      </c>
      <c r="B142" s="2" t="n">
        <v>2</v>
      </c>
      <c r="C142" s="2" t="n">
        <v>0.5</v>
      </c>
      <c r="D142" s="2" t="n">
        <v>3</v>
      </c>
      <c r="E142" s="2" t="n">
        <v>0.6046</v>
      </c>
    </row>
    <row r="143" customFormat="false" ht="15" hidden="false" customHeight="false" outlineLevel="0" collapsed="false">
      <c r="A143" s="2" t="s">
        <v>6</v>
      </c>
      <c r="B143" s="2" t="n">
        <v>2</v>
      </c>
      <c r="C143" s="2" t="n">
        <v>1</v>
      </c>
      <c r="D143" s="2" t="n">
        <v>1</v>
      </c>
      <c r="E143" s="2" t="n">
        <v>1.1959</v>
      </c>
    </row>
    <row r="144" customFormat="false" ht="15" hidden="false" customHeight="false" outlineLevel="0" collapsed="false">
      <c r="A144" s="2" t="s">
        <v>6</v>
      </c>
      <c r="B144" s="2" t="n">
        <v>2</v>
      </c>
      <c r="C144" s="2" t="n">
        <v>1</v>
      </c>
      <c r="D144" s="2" t="n">
        <v>2</v>
      </c>
      <c r="E144" s="2" t="n">
        <v>1.2139</v>
      </c>
    </row>
    <row r="145" customFormat="false" ht="15" hidden="false" customHeight="false" outlineLevel="0" collapsed="false">
      <c r="A145" s="2" t="s">
        <v>6</v>
      </c>
      <c r="B145" s="2" t="n">
        <v>2</v>
      </c>
      <c r="C145" s="2" t="n">
        <v>1</v>
      </c>
      <c r="D145" s="2" t="n">
        <v>3</v>
      </c>
      <c r="E145" s="2" t="n">
        <v>1.2042</v>
      </c>
    </row>
    <row r="146" customFormat="false" ht="15" hidden="false" customHeight="false" outlineLevel="0" collapsed="false">
      <c r="A146" s="2" t="s">
        <v>6</v>
      </c>
      <c r="B146" s="2" t="n">
        <v>2</v>
      </c>
      <c r="C146" s="2" t="n">
        <v>2</v>
      </c>
      <c r="D146" s="2" t="n">
        <v>1</v>
      </c>
      <c r="E146" s="2" t="n">
        <v>2.3891</v>
      </c>
    </row>
    <row r="147" customFormat="false" ht="15" hidden="false" customHeight="false" outlineLevel="0" collapsed="false">
      <c r="A147" s="2" t="s">
        <v>6</v>
      </c>
      <c r="B147" s="2" t="n">
        <v>2</v>
      </c>
      <c r="C147" s="2" t="n">
        <v>2</v>
      </c>
      <c r="D147" s="2" t="n">
        <v>2</v>
      </c>
      <c r="E147" s="2" t="n">
        <v>2.402</v>
      </c>
    </row>
    <row r="148" customFormat="false" ht="15" hidden="false" customHeight="false" outlineLevel="0" collapsed="false">
      <c r="A148" s="2" t="s">
        <v>6</v>
      </c>
      <c r="B148" s="2" t="n">
        <v>2</v>
      </c>
      <c r="C148" s="2" t="n">
        <v>2</v>
      </c>
      <c r="D148" s="2" t="n">
        <v>3</v>
      </c>
      <c r="E148" s="2" t="n">
        <v>2.3906</v>
      </c>
    </row>
    <row r="149" customFormat="false" ht="15" hidden="false" customHeight="false" outlineLevel="0" collapsed="false">
      <c r="A149" s="2" t="s">
        <v>6</v>
      </c>
      <c r="B149" s="2" t="n">
        <v>3</v>
      </c>
      <c r="C149" s="2" t="n">
        <v>0</v>
      </c>
      <c r="D149" s="2" t="n">
        <v>1</v>
      </c>
      <c r="E149" s="2" t="n">
        <v>0.0057</v>
      </c>
    </row>
    <row r="150" customFormat="false" ht="15" hidden="false" customHeight="false" outlineLevel="0" collapsed="false">
      <c r="A150" s="2" t="s">
        <v>6</v>
      </c>
      <c r="B150" s="2" t="n">
        <v>3</v>
      </c>
      <c r="C150" s="2" t="n">
        <v>0</v>
      </c>
      <c r="D150" s="2" t="n">
        <v>2</v>
      </c>
      <c r="E150" s="2" t="n">
        <v>0.0182</v>
      </c>
    </row>
    <row r="151" customFormat="false" ht="15" hidden="false" customHeight="false" outlineLevel="0" collapsed="false">
      <c r="A151" s="2" t="s">
        <v>6</v>
      </c>
      <c r="B151" s="2" t="n">
        <v>3</v>
      </c>
      <c r="C151" s="2" t="n">
        <v>0</v>
      </c>
      <c r="D151" s="2" t="n">
        <v>3</v>
      </c>
      <c r="E151" s="2" t="n">
        <v>0.0144</v>
      </c>
    </row>
    <row r="152" customFormat="false" ht="15" hidden="false" customHeight="false" outlineLevel="0" collapsed="false">
      <c r="A152" s="2" t="s">
        <v>6</v>
      </c>
      <c r="B152" s="2" t="n">
        <v>3</v>
      </c>
      <c r="C152" s="2" t="n">
        <v>0.05</v>
      </c>
      <c r="D152" s="2" t="n">
        <v>1</v>
      </c>
      <c r="E152" s="2" t="n">
        <v>0.077</v>
      </c>
    </row>
    <row r="153" customFormat="false" ht="15" hidden="false" customHeight="false" outlineLevel="0" collapsed="false">
      <c r="A153" s="2" t="s">
        <v>6</v>
      </c>
      <c r="B153" s="2" t="n">
        <v>3</v>
      </c>
      <c r="C153" s="2" t="n">
        <v>0.05</v>
      </c>
      <c r="D153" s="2" t="n">
        <v>2</v>
      </c>
      <c r="E153" s="2" t="n">
        <v>0.0846</v>
      </c>
    </row>
    <row r="154" customFormat="false" ht="15" hidden="false" customHeight="false" outlineLevel="0" collapsed="false">
      <c r="A154" s="2" t="s">
        <v>6</v>
      </c>
      <c r="B154" s="2" t="n">
        <v>3</v>
      </c>
      <c r="C154" s="2" t="n">
        <v>0.05</v>
      </c>
      <c r="D154" s="2" t="n">
        <v>3</v>
      </c>
      <c r="E154" s="2" t="n">
        <v>0.0696</v>
      </c>
    </row>
    <row r="155" customFormat="false" ht="15" hidden="false" customHeight="false" outlineLevel="0" collapsed="false">
      <c r="A155" s="2" t="s">
        <v>6</v>
      </c>
      <c r="B155" s="2" t="n">
        <v>3</v>
      </c>
      <c r="C155" s="2" t="n">
        <v>0.1</v>
      </c>
      <c r="D155" s="2" t="n">
        <v>1</v>
      </c>
      <c r="E155" s="2" t="n">
        <v>0.1258</v>
      </c>
    </row>
    <row r="156" customFormat="false" ht="15" hidden="false" customHeight="false" outlineLevel="0" collapsed="false">
      <c r="A156" s="2" t="s">
        <v>6</v>
      </c>
      <c r="B156" s="2" t="n">
        <v>3</v>
      </c>
      <c r="C156" s="2" t="n">
        <v>0.1</v>
      </c>
      <c r="D156" s="2" t="n">
        <v>2</v>
      </c>
      <c r="E156" s="2" t="n">
        <v>0.1249</v>
      </c>
    </row>
    <row r="157" customFormat="false" ht="15" hidden="false" customHeight="false" outlineLevel="0" collapsed="false">
      <c r="A157" s="2" t="s">
        <v>6</v>
      </c>
      <c r="B157" s="2" t="n">
        <v>3</v>
      </c>
      <c r="C157" s="2" t="n">
        <v>0.1</v>
      </c>
      <c r="D157" s="2" t="n">
        <v>3</v>
      </c>
      <c r="E157" s="2" t="n">
        <v>0.1254</v>
      </c>
    </row>
    <row r="158" customFormat="false" ht="15" hidden="false" customHeight="false" outlineLevel="0" collapsed="false">
      <c r="A158" s="2" t="s">
        <v>6</v>
      </c>
      <c r="B158" s="2" t="n">
        <v>3</v>
      </c>
      <c r="C158" s="2" t="n">
        <v>0.25</v>
      </c>
      <c r="D158" s="2" t="n">
        <v>1</v>
      </c>
      <c r="E158" s="2" t="n">
        <v>0.31</v>
      </c>
    </row>
    <row r="159" customFormat="false" ht="15" hidden="false" customHeight="false" outlineLevel="0" collapsed="false">
      <c r="A159" s="2" t="s">
        <v>6</v>
      </c>
      <c r="B159" s="2" t="n">
        <v>3</v>
      </c>
      <c r="C159" s="2" t="n">
        <v>0.25</v>
      </c>
      <c r="D159" s="2" t="n">
        <v>2</v>
      </c>
      <c r="E159" s="2" t="n">
        <v>0.3129</v>
      </c>
    </row>
    <row r="160" customFormat="false" ht="15" hidden="false" customHeight="false" outlineLevel="0" collapsed="false">
      <c r="A160" s="2" t="s">
        <v>6</v>
      </c>
      <c r="B160" s="2" t="n">
        <v>3</v>
      </c>
      <c r="C160" s="2" t="n">
        <v>0.25</v>
      </c>
      <c r="D160" s="2" t="n">
        <v>3</v>
      </c>
      <c r="E160" s="2" t="n">
        <v>0.3125</v>
      </c>
    </row>
    <row r="161" customFormat="false" ht="15" hidden="false" customHeight="false" outlineLevel="0" collapsed="false">
      <c r="A161" s="2" t="s">
        <v>6</v>
      </c>
      <c r="B161" s="2" t="n">
        <v>3</v>
      </c>
      <c r="C161" s="2" t="n">
        <v>0.5</v>
      </c>
      <c r="D161" s="2" t="n">
        <v>1</v>
      </c>
      <c r="E161" s="2" t="n">
        <v>0.6154</v>
      </c>
    </row>
    <row r="162" customFormat="false" ht="15" hidden="false" customHeight="false" outlineLevel="0" collapsed="false">
      <c r="A162" s="2" t="s">
        <v>6</v>
      </c>
      <c r="B162" s="2" t="n">
        <v>3</v>
      </c>
      <c r="C162" s="2" t="n">
        <v>0.5</v>
      </c>
      <c r="D162" s="2" t="n">
        <v>2</v>
      </c>
      <c r="E162" s="2" t="n">
        <v>0.6097</v>
      </c>
    </row>
    <row r="163" customFormat="false" ht="15" hidden="false" customHeight="false" outlineLevel="0" collapsed="false">
      <c r="A163" s="2" t="s">
        <v>6</v>
      </c>
      <c r="B163" s="2" t="n">
        <v>3</v>
      </c>
      <c r="C163" s="2" t="n">
        <v>0.5</v>
      </c>
      <c r="D163" s="2" t="n">
        <v>3</v>
      </c>
      <c r="E163" s="2" t="n">
        <v>0.6197</v>
      </c>
    </row>
    <row r="164" customFormat="false" ht="15" hidden="false" customHeight="false" outlineLevel="0" collapsed="false">
      <c r="A164" s="2" t="s">
        <v>6</v>
      </c>
      <c r="B164" s="2" t="n">
        <v>3</v>
      </c>
      <c r="C164" s="2" t="n">
        <v>1</v>
      </c>
      <c r="D164" s="2" t="n">
        <v>1</v>
      </c>
      <c r="E164" s="2" t="n">
        <v>1.2058</v>
      </c>
    </row>
    <row r="165" customFormat="false" ht="15" hidden="false" customHeight="false" outlineLevel="0" collapsed="false">
      <c r="A165" s="2" t="s">
        <v>6</v>
      </c>
      <c r="B165" s="2" t="n">
        <v>3</v>
      </c>
      <c r="C165" s="2" t="n">
        <v>1</v>
      </c>
      <c r="D165" s="2" t="n">
        <v>2</v>
      </c>
      <c r="E165" s="2" t="n">
        <v>1.2267</v>
      </c>
    </row>
    <row r="166" customFormat="false" ht="15" hidden="false" customHeight="false" outlineLevel="0" collapsed="false">
      <c r="A166" s="2" t="s">
        <v>6</v>
      </c>
      <c r="B166" s="2" t="n">
        <v>3</v>
      </c>
      <c r="C166" s="2" t="n">
        <v>1</v>
      </c>
      <c r="D166" s="2" t="n">
        <v>3</v>
      </c>
      <c r="E166" s="2" t="n">
        <v>1.212</v>
      </c>
    </row>
    <row r="167" customFormat="false" ht="15" hidden="false" customHeight="false" outlineLevel="0" collapsed="false">
      <c r="A167" s="2" t="s">
        <v>6</v>
      </c>
      <c r="B167" s="2" t="n">
        <v>3</v>
      </c>
      <c r="C167" s="2" t="n">
        <v>2</v>
      </c>
      <c r="D167" s="2" t="n">
        <v>1</v>
      </c>
      <c r="E167" s="2" t="n">
        <v>2.3979</v>
      </c>
    </row>
    <row r="168" customFormat="false" ht="15" hidden="false" customHeight="false" outlineLevel="0" collapsed="false">
      <c r="A168" s="2" t="s">
        <v>6</v>
      </c>
      <c r="B168" s="2" t="n">
        <v>3</v>
      </c>
      <c r="C168" s="2" t="n">
        <v>2</v>
      </c>
      <c r="D168" s="2" t="n">
        <v>2</v>
      </c>
      <c r="E168" s="2" t="n">
        <v>2.3964</v>
      </c>
    </row>
    <row r="169" customFormat="false" ht="15" hidden="false" customHeight="false" outlineLevel="0" collapsed="false">
      <c r="A169" s="2" t="s">
        <v>6</v>
      </c>
      <c r="B169" s="2" t="n">
        <v>3</v>
      </c>
      <c r="C169" s="2" t="n">
        <v>2</v>
      </c>
      <c r="D169" s="2" t="n">
        <v>3</v>
      </c>
      <c r="E169" s="2" t="n">
        <v>2.4072</v>
      </c>
    </row>
    <row r="170" customFormat="false" ht="15" hidden="false" customHeight="false" outlineLevel="0" collapsed="false">
      <c r="A170" s="2" t="s">
        <v>6</v>
      </c>
      <c r="B170" s="2" t="n">
        <v>4</v>
      </c>
      <c r="C170" s="2" t="n">
        <v>0</v>
      </c>
      <c r="D170" s="2" t="n">
        <v>1</v>
      </c>
      <c r="E170" s="2" t="n">
        <v>0.0135</v>
      </c>
    </row>
    <row r="171" customFormat="false" ht="15" hidden="false" customHeight="false" outlineLevel="0" collapsed="false">
      <c r="A171" s="2" t="s">
        <v>6</v>
      </c>
      <c r="B171" s="2" t="n">
        <v>4</v>
      </c>
      <c r="C171" s="2" t="n">
        <v>0</v>
      </c>
      <c r="D171" s="2" t="n">
        <v>2</v>
      </c>
      <c r="E171" s="2" t="n">
        <v>0.0096</v>
      </c>
    </row>
    <row r="172" customFormat="false" ht="15" hidden="false" customHeight="false" outlineLevel="0" collapsed="false">
      <c r="A172" s="2" t="s">
        <v>6</v>
      </c>
      <c r="B172" s="2" t="n">
        <v>4</v>
      </c>
      <c r="C172" s="2" t="n">
        <v>0</v>
      </c>
      <c r="D172" s="2" t="n">
        <v>3</v>
      </c>
      <c r="E172" s="2" t="n">
        <v>0.0042</v>
      </c>
    </row>
    <row r="173" customFormat="false" ht="15" hidden="false" customHeight="false" outlineLevel="0" collapsed="false">
      <c r="A173" s="2" t="s">
        <v>6</v>
      </c>
      <c r="B173" s="2" t="n">
        <v>4</v>
      </c>
      <c r="C173" s="2" t="n">
        <v>0.05</v>
      </c>
      <c r="D173" s="2" t="n">
        <v>1</v>
      </c>
      <c r="E173" s="2" t="n">
        <v>0.0586</v>
      </c>
    </row>
    <row r="174" customFormat="false" ht="15" hidden="false" customHeight="false" outlineLevel="0" collapsed="false">
      <c r="A174" s="2" t="s">
        <v>6</v>
      </c>
      <c r="B174" s="2" t="n">
        <v>4</v>
      </c>
      <c r="C174" s="2" t="n">
        <v>0.05</v>
      </c>
      <c r="D174" s="2" t="n">
        <v>2</v>
      </c>
      <c r="E174" s="2" t="n">
        <v>0.0661</v>
      </c>
    </row>
    <row r="175" customFormat="false" ht="15" hidden="false" customHeight="false" outlineLevel="0" collapsed="false">
      <c r="A175" s="2" t="s">
        <v>6</v>
      </c>
      <c r="B175" s="2" t="n">
        <v>4</v>
      </c>
      <c r="C175" s="2" t="n">
        <v>0.05</v>
      </c>
      <c r="D175" s="2" t="n">
        <v>3</v>
      </c>
      <c r="E175" s="2" t="n">
        <v>0.0752</v>
      </c>
    </row>
    <row r="176" customFormat="false" ht="15" hidden="false" customHeight="false" outlineLevel="0" collapsed="false">
      <c r="A176" s="2" t="s">
        <v>6</v>
      </c>
      <c r="B176" s="2" t="n">
        <v>4</v>
      </c>
      <c r="C176" s="2" t="n">
        <v>0.1</v>
      </c>
      <c r="D176" s="2" t="n">
        <v>1</v>
      </c>
      <c r="E176" s="2" t="n">
        <v>0.1298</v>
      </c>
    </row>
    <row r="177" customFormat="false" ht="15" hidden="false" customHeight="false" outlineLevel="0" collapsed="false">
      <c r="A177" s="2" t="s">
        <v>6</v>
      </c>
      <c r="B177" s="2" t="n">
        <v>4</v>
      </c>
      <c r="C177" s="2" t="n">
        <v>0.1</v>
      </c>
      <c r="D177" s="2" t="n">
        <v>2</v>
      </c>
      <c r="E177" s="2" t="n">
        <v>0.1196</v>
      </c>
    </row>
    <row r="178" customFormat="false" ht="15" hidden="false" customHeight="false" outlineLevel="0" collapsed="false">
      <c r="A178" s="2" t="s">
        <v>6</v>
      </c>
      <c r="B178" s="2" t="n">
        <v>4</v>
      </c>
      <c r="C178" s="2" t="n">
        <v>0.1</v>
      </c>
      <c r="D178" s="2" t="n">
        <v>3</v>
      </c>
      <c r="E178" s="2" t="n">
        <v>0.1295</v>
      </c>
    </row>
    <row r="179" customFormat="false" ht="15" hidden="false" customHeight="false" outlineLevel="0" collapsed="false">
      <c r="A179" s="2" t="s">
        <v>6</v>
      </c>
      <c r="B179" s="2" t="n">
        <v>4</v>
      </c>
      <c r="C179" s="2" t="n">
        <v>0.25</v>
      </c>
      <c r="D179" s="2" t="n">
        <v>1</v>
      </c>
      <c r="E179" s="2" t="n">
        <v>0.3083</v>
      </c>
    </row>
    <row r="180" customFormat="false" ht="15" hidden="false" customHeight="false" outlineLevel="0" collapsed="false">
      <c r="A180" s="2" t="s">
        <v>6</v>
      </c>
      <c r="B180" s="2" t="n">
        <v>4</v>
      </c>
      <c r="C180" s="2" t="n">
        <v>0.25</v>
      </c>
      <c r="D180" s="2" t="n">
        <v>2</v>
      </c>
      <c r="E180" s="2" t="n">
        <v>0.2994</v>
      </c>
    </row>
    <row r="181" customFormat="false" ht="15" hidden="false" customHeight="false" outlineLevel="0" collapsed="false">
      <c r="A181" s="2" t="s">
        <v>6</v>
      </c>
      <c r="B181" s="2" t="n">
        <v>4</v>
      </c>
      <c r="C181" s="2" t="n">
        <v>0.25</v>
      </c>
      <c r="D181" s="2" t="n">
        <v>3</v>
      </c>
      <c r="E181" s="2" t="n">
        <v>0.3067</v>
      </c>
    </row>
    <row r="182" customFormat="false" ht="15" hidden="false" customHeight="false" outlineLevel="0" collapsed="false">
      <c r="A182" s="2" t="s">
        <v>6</v>
      </c>
      <c r="B182" s="2" t="n">
        <v>4</v>
      </c>
      <c r="C182" s="2" t="n">
        <v>0.5</v>
      </c>
      <c r="D182" s="2" t="n">
        <v>1</v>
      </c>
      <c r="E182" s="2" t="n">
        <v>0.6015</v>
      </c>
    </row>
    <row r="183" customFormat="false" ht="15" hidden="false" customHeight="false" outlineLevel="0" collapsed="false">
      <c r="A183" s="2" t="s">
        <v>6</v>
      </c>
      <c r="B183" s="2" t="n">
        <v>4</v>
      </c>
      <c r="C183" s="2" t="n">
        <v>0.5</v>
      </c>
      <c r="D183" s="2" t="n">
        <v>2</v>
      </c>
      <c r="E183" s="2" t="n">
        <v>0.5931</v>
      </c>
    </row>
    <row r="184" customFormat="false" ht="15" hidden="false" customHeight="false" outlineLevel="0" collapsed="false">
      <c r="A184" s="2" t="s">
        <v>6</v>
      </c>
      <c r="B184" s="2" t="n">
        <v>4</v>
      </c>
      <c r="C184" s="2" t="n">
        <v>0.5</v>
      </c>
      <c r="D184" s="2" t="n">
        <v>3</v>
      </c>
      <c r="E184" s="2" t="n">
        <v>0.6036</v>
      </c>
    </row>
    <row r="185" customFormat="false" ht="15" hidden="false" customHeight="false" outlineLevel="0" collapsed="false">
      <c r="A185" s="2" t="s">
        <v>6</v>
      </c>
      <c r="B185" s="2" t="n">
        <v>4</v>
      </c>
      <c r="C185" s="2" t="n">
        <v>1</v>
      </c>
      <c r="D185" s="2" t="n">
        <v>1</v>
      </c>
      <c r="E185" s="2" t="n">
        <v>1.1959</v>
      </c>
    </row>
    <row r="186" customFormat="false" ht="15" hidden="false" customHeight="false" outlineLevel="0" collapsed="false">
      <c r="A186" s="2" t="s">
        <v>6</v>
      </c>
      <c r="B186" s="2" t="n">
        <v>4</v>
      </c>
      <c r="C186" s="2" t="n">
        <v>1</v>
      </c>
      <c r="D186" s="2" t="n">
        <v>2</v>
      </c>
      <c r="E186" s="2" t="n">
        <v>1.1995</v>
      </c>
    </row>
    <row r="187" customFormat="false" ht="15" hidden="false" customHeight="false" outlineLevel="0" collapsed="false">
      <c r="A187" s="2" t="s">
        <v>6</v>
      </c>
      <c r="B187" s="2" t="n">
        <v>4</v>
      </c>
      <c r="C187" s="2" t="n">
        <v>1</v>
      </c>
      <c r="D187" s="2" t="n">
        <v>3</v>
      </c>
      <c r="E187" s="2" t="n">
        <v>1.1993</v>
      </c>
    </row>
    <row r="188" customFormat="false" ht="15" hidden="false" customHeight="false" outlineLevel="0" collapsed="false">
      <c r="A188" s="2" t="s">
        <v>6</v>
      </c>
      <c r="B188" s="2" t="n">
        <v>4</v>
      </c>
      <c r="C188" s="2" t="n">
        <v>2</v>
      </c>
      <c r="D188" s="2" t="n">
        <v>1</v>
      </c>
      <c r="E188" s="2" t="n">
        <v>2.3641</v>
      </c>
    </row>
    <row r="189" customFormat="false" ht="15" hidden="false" customHeight="false" outlineLevel="0" collapsed="false">
      <c r="A189" s="2" t="s">
        <v>6</v>
      </c>
      <c r="B189" s="2" t="n">
        <v>4</v>
      </c>
      <c r="C189" s="2" t="n">
        <v>2</v>
      </c>
      <c r="D189" s="2" t="n">
        <v>2</v>
      </c>
      <c r="E189" s="2" t="n">
        <v>2.3672</v>
      </c>
    </row>
    <row r="190" customFormat="false" ht="15" hidden="false" customHeight="false" outlineLevel="0" collapsed="false">
      <c r="A190" s="2" t="s">
        <v>6</v>
      </c>
      <c r="B190" s="2" t="n">
        <v>4</v>
      </c>
      <c r="C190" s="2" t="n">
        <v>2</v>
      </c>
      <c r="D190" s="2" t="n">
        <v>3</v>
      </c>
      <c r="E190" s="2" t="n">
        <v>2.3774</v>
      </c>
    </row>
    <row r="191" customFormat="false" ht="15" hidden="false" customHeight="false" outlineLevel="0" collapsed="false">
      <c r="A191" s="2" t="s">
        <v>6</v>
      </c>
      <c r="B191" s="2" t="n">
        <v>5</v>
      </c>
      <c r="C191" s="2" t="n">
        <v>0</v>
      </c>
      <c r="D191" s="2" t="n">
        <v>1</v>
      </c>
      <c r="E191" s="2" t="n">
        <v>0.0365</v>
      </c>
    </row>
    <row r="192" customFormat="false" ht="15" hidden="false" customHeight="false" outlineLevel="0" collapsed="false">
      <c r="A192" s="2" t="s">
        <v>6</v>
      </c>
      <c r="B192" s="2" t="n">
        <v>5</v>
      </c>
      <c r="C192" s="2" t="n">
        <v>0</v>
      </c>
      <c r="D192" s="2" t="n">
        <v>2</v>
      </c>
      <c r="E192" s="2" t="n">
        <v>0.0135</v>
      </c>
    </row>
    <row r="193" customFormat="false" ht="15" hidden="false" customHeight="false" outlineLevel="0" collapsed="false">
      <c r="A193" s="2" t="s">
        <v>6</v>
      </c>
      <c r="B193" s="2" t="n">
        <v>5</v>
      </c>
      <c r="C193" s="2" t="n">
        <v>0</v>
      </c>
      <c r="D193" s="2" t="n">
        <v>3</v>
      </c>
      <c r="E193" s="2" t="n">
        <v>0.0175</v>
      </c>
    </row>
    <row r="194" customFormat="false" ht="15" hidden="false" customHeight="false" outlineLevel="0" collapsed="false">
      <c r="A194" s="2" t="s">
        <v>6</v>
      </c>
      <c r="B194" s="2" t="n">
        <v>5</v>
      </c>
      <c r="C194" s="2" t="n">
        <v>0.05</v>
      </c>
      <c r="D194" s="2" t="n">
        <v>1</v>
      </c>
      <c r="E194" s="2" t="n">
        <v>0.0758</v>
      </c>
    </row>
    <row r="195" customFormat="false" ht="15" hidden="false" customHeight="false" outlineLevel="0" collapsed="false">
      <c r="A195" s="2" t="s">
        <v>6</v>
      </c>
      <c r="B195" s="2" t="n">
        <v>5</v>
      </c>
      <c r="C195" s="2" t="n">
        <v>0.05</v>
      </c>
      <c r="D195" s="2" t="n">
        <v>2</v>
      </c>
      <c r="E195" s="2" t="n">
        <v>0.0737</v>
      </c>
    </row>
    <row r="196" customFormat="false" ht="15" hidden="false" customHeight="false" outlineLevel="0" collapsed="false">
      <c r="A196" s="2" t="s">
        <v>6</v>
      </c>
      <c r="B196" s="2" t="n">
        <v>5</v>
      </c>
      <c r="C196" s="2" t="n">
        <v>0.05</v>
      </c>
      <c r="D196" s="2" t="n">
        <v>3</v>
      </c>
      <c r="E196" s="2" t="n">
        <v>0.067</v>
      </c>
    </row>
    <row r="197" customFormat="false" ht="15" hidden="false" customHeight="false" outlineLevel="0" collapsed="false">
      <c r="A197" s="2" t="s">
        <v>6</v>
      </c>
      <c r="B197" s="2" t="n">
        <v>5</v>
      </c>
      <c r="C197" s="2" t="n">
        <v>0.1</v>
      </c>
      <c r="D197" s="2" t="n">
        <v>1</v>
      </c>
      <c r="E197" s="2" t="n">
        <v>0.1341</v>
      </c>
    </row>
    <row r="198" customFormat="false" ht="15" hidden="false" customHeight="false" outlineLevel="0" collapsed="false">
      <c r="A198" s="2" t="s">
        <v>6</v>
      </c>
      <c r="B198" s="2" t="n">
        <v>5</v>
      </c>
      <c r="C198" s="2" t="n">
        <v>0.1</v>
      </c>
      <c r="D198" s="2" t="n">
        <v>2</v>
      </c>
      <c r="E198" s="2" t="n">
        <v>0.1234</v>
      </c>
    </row>
    <row r="199" customFormat="false" ht="15" hidden="false" customHeight="false" outlineLevel="0" collapsed="false">
      <c r="A199" s="2" t="s">
        <v>6</v>
      </c>
      <c r="B199" s="2" t="n">
        <v>5</v>
      </c>
      <c r="C199" s="2" t="n">
        <v>0.1</v>
      </c>
      <c r="D199" s="2" t="n">
        <v>3</v>
      </c>
      <c r="E199" s="2" t="n">
        <v>0.1271</v>
      </c>
    </row>
    <row r="200" customFormat="false" ht="15" hidden="false" customHeight="false" outlineLevel="0" collapsed="false">
      <c r="A200" s="2" t="s">
        <v>6</v>
      </c>
      <c r="B200" s="2" t="n">
        <v>5</v>
      </c>
      <c r="C200" s="2" t="n">
        <v>0.25</v>
      </c>
      <c r="D200" s="2" t="n">
        <v>1</v>
      </c>
      <c r="E200" s="2" t="n">
        <v>0.3042</v>
      </c>
    </row>
    <row r="201" customFormat="false" ht="15" hidden="false" customHeight="false" outlineLevel="0" collapsed="false">
      <c r="A201" s="2" t="s">
        <v>6</v>
      </c>
      <c r="B201" s="2" t="n">
        <v>5</v>
      </c>
      <c r="C201" s="2" t="n">
        <v>0.25</v>
      </c>
      <c r="D201" s="2" t="n">
        <v>2</v>
      </c>
      <c r="E201" s="2" t="n">
        <v>0.3082</v>
      </c>
    </row>
    <row r="202" customFormat="false" ht="15" hidden="false" customHeight="false" outlineLevel="0" collapsed="false">
      <c r="A202" s="2" t="s">
        <v>6</v>
      </c>
      <c r="B202" s="2" t="n">
        <v>5</v>
      </c>
      <c r="C202" s="2" t="n">
        <v>0.25</v>
      </c>
      <c r="D202" s="2" t="n">
        <v>3</v>
      </c>
      <c r="E202" s="2" t="n">
        <v>0.3238</v>
      </c>
    </row>
    <row r="203" customFormat="false" ht="15" hidden="false" customHeight="false" outlineLevel="0" collapsed="false">
      <c r="A203" s="2" t="s">
        <v>6</v>
      </c>
      <c r="B203" s="2" t="n">
        <v>5</v>
      </c>
      <c r="C203" s="2" t="n">
        <v>0.5</v>
      </c>
      <c r="D203" s="2" t="n">
        <v>1</v>
      </c>
      <c r="E203" s="2" t="n">
        <v>0.5926</v>
      </c>
    </row>
    <row r="204" customFormat="false" ht="15" hidden="false" customHeight="false" outlineLevel="0" collapsed="false">
      <c r="A204" s="2" t="s">
        <v>6</v>
      </c>
      <c r="B204" s="2" t="n">
        <v>5</v>
      </c>
      <c r="C204" s="2" t="n">
        <v>0.5</v>
      </c>
      <c r="D204" s="2" t="n">
        <v>2</v>
      </c>
      <c r="E204" s="2" t="n">
        <v>0.6105</v>
      </c>
    </row>
    <row r="205" customFormat="false" ht="15" hidden="false" customHeight="false" outlineLevel="0" collapsed="false">
      <c r="A205" s="2" t="s">
        <v>6</v>
      </c>
      <c r="B205" s="2" t="n">
        <v>5</v>
      </c>
      <c r="C205" s="2" t="n">
        <v>0.5</v>
      </c>
      <c r="D205" s="2" t="n">
        <v>3</v>
      </c>
      <c r="E205" s="2" t="n">
        <v>0.5944</v>
      </c>
    </row>
    <row r="206" customFormat="false" ht="15" hidden="false" customHeight="false" outlineLevel="0" collapsed="false">
      <c r="A206" s="2" t="s">
        <v>6</v>
      </c>
      <c r="B206" s="2" t="n">
        <v>5</v>
      </c>
      <c r="C206" s="2" t="n">
        <v>1</v>
      </c>
      <c r="D206" s="2" t="n">
        <v>1</v>
      </c>
      <c r="E206" s="2" t="n">
        <v>1.1985</v>
      </c>
    </row>
    <row r="207" customFormat="false" ht="15" hidden="false" customHeight="false" outlineLevel="0" collapsed="false">
      <c r="A207" s="2" t="s">
        <v>6</v>
      </c>
      <c r="B207" s="2" t="n">
        <v>5</v>
      </c>
      <c r="C207" s="2" t="n">
        <v>1</v>
      </c>
      <c r="D207" s="2" t="n">
        <v>2</v>
      </c>
      <c r="E207" s="2" t="n">
        <v>1.2095</v>
      </c>
    </row>
    <row r="208" customFormat="false" ht="15" hidden="false" customHeight="false" outlineLevel="0" collapsed="false">
      <c r="A208" s="2" t="s">
        <v>6</v>
      </c>
      <c r="B208" s="2" t="n">
        <v>5</v>
      </c>
      <c r="C208" s="2" t="n">
        <v>1</v>
      </c>
      <c r="D208" s="2" t="n">
        <v>3</v>
      </c>
      <c r="E208" s="2" t="n">
        <v>1.2023</v>
      </c>
    </row>
    <row r="209" customFormat="false" ht="15" hidden="false" customHeight="false" outlineLevel="0" collapsed="false">
      <c r="A209" s="2" t="s">
        <v>6</v>
      </c>
      <c r="B209" s="2" t="n">
        <v>5</v>
      </c>
      <c r="C209" s="2" t="n">
        <v>2</v>
      </c>
      <c r="D209" s="2" t="n">
        <v>1</v>
      </c>
      <c r="E209" s="2" t="n">
        <v>2.3866</v>
      </c>
    </row>
    <row r="210" customFormat="false" ht="15" hidden="false" customHeight="false" outlineLevel="0" collapsed="false">
      <c r="A210" s="2" t="s">
        <v>6</v>
      </c>
      <c r="B210" s="2" t="n">
        <v>5</v>
      </c>
      <c r="C210" s="2" t="n">
        <v>2</v>
      </c>
      <c r="D210" s="2" t="n">
        <v>2</v>
      </c>
      <c r="E210" s="2" t="n">
        <v>2.3892</v>
      </c>
    </row>
    <row r="211" customFormat="false" ht="15" hidden="false" customHeight="false" outlineLevel="0" collapsed="false">
      <c r="A211" s="2" t="s">
        <v>6</v>
      </c>
      <c r="B211" s="2" t="n">
        <v>5</v>
      </c>
      <c r="C211" s="2" t="n">
        <v>2</v>
      </c>
      <c r="D211" s="2" t="n">
        <v>3</v>
      </c>
      <c r="E211" s="2" t="n">
        <v>2.3989</v>
      </c>
    </row>
    <row r="212" customFormat="false" ht="15" hidden="false" customHeight="false" outlineLevel="0" collapsed="false">
      <c r="A212" s="2" t="s">
        <v>7</v>
      </c>
      <c r="B212" s="2" t="n">
        <v>1</v>
      </c>
      <c r="C212" s="2" t="n">
        <v>0</v>
      </c>
      <c r="D212" s="2" t="n">
        <v>1</v>
      </c>
      <c r="E212" s="2" t="n">
        <v>0.0159</v>
      </c>
    </row>
    <row r="213" customFormat="false" ht="15" hidden="false" customHeight="false" outlineLevel="0" collapsed="false">
      <c r="A213" s="2" t="s">
        <v>7</v>
      </c>
      <c r="B213" s="2" t="n">
        <v>1</v>
      </c>
      <c r="C213" s="2" t="n">
        <v>0</v>
      </c>
      <c r="D213" s="2" t="n">
        <v>2</v>
      </c>
      <c r="E213" s="2" t="n">
        <v>0.0124</v>
      </c>
    </row>
    <row r="214" customFormat="false" ht="15" hidden="false" customHeight="false" outlineLevel="0" collapsed="false">
      <c r="A214" s="2" t="s">
        <v>7</v>
      </c>
      <c r="B214" s="2" t="n">
        <v>1</v>
      </c>
      <c r="C214" s="2" t="n">
        <v>0</v>
      </c>
      <c r="D214" s="2" t="n">
        <v>3</v>
      </c>
      <c r="E214" s="2" t="n">
        <v>0.0264</v>
      </c>
    </row>
    <row r="215" customFormat="false" ht="15" hidden="false" customHeight="false" outlineLevel="0" collapsed="false">
      <c r="A215" s="2" t="s">
        <v>7</v>
      </c>
      <c r="B215" s="2" t="n">
        <v>1</v>
      </c>
      <c r="C215" s="2" t="n">
        <v>0.05</v>
      </c>
      <c r="D215" s="2" t="n">
        <v>1</v>
      </c>
      <c r="E215" s="2" t="n">
        <v>0.0493</v>
      </c>
    </row>
    <row r="216" customFormat="false" ht="15" hidden="false" customHeight="false" outlineLevel="0" collapsed="false">
      <c r="A216" s="2" t="s">
        <v>7</v>
      </c>
      <c r="B216" s="2" t="n">
        <v>1</v>
      </c>
      <c r="C216" s="2" t="n">
        <v>0.05</v>
      </c>
      <c r="D216" s="2" t="n">
        <v>2</v>
      </c>
      <c r="E216" s="2" t="n">
        <v>0.036</v>
      </c>
    </row>
    <row r="217" customFormat="false" ht="15" hidden="false" customHeight="false" outlineLevel="0" collapsed="false">
      <c r="A217" s="2" t="s">
        <v>7</v>
      </c>
      <c r="B217" s="2" t="n">
        <v>1</v>
      </c>
      <c r="C217" s="2" t="n">
        <v>0.05</v>
      </c>
      <c r="D217" s="2" t="n">
        <v>3</v>
      </c>
      <c r="E217" s="2" t="n">
        <v>0.0471</v>
      </c>
    </row>
    <row r="218" customFormat="false" ht="15" hidden="false" customHeight="false" outlineLevel="0" collapsed="false">
      <c r="A218" s="2" t="s">
        <v>7</v>
      </c>
      <c r="B218" s="2" t="n">
        <v>1</v>
      </c>
      <c r="C218" s="2" t="n">
        <v>0.1</v>
      </c>
      <c r="D218" s="2" t="n">
        <v>1</v>
      </c>
      <c r="E218" s="2" t="n">
        <v>0.0733</v>
      </c>
    </row>
    <row r="219" customFormat="false" ht="15" hidden="false" customHeight="false" outlineLevel="0" collapsed="false">
      <c r="A219" s="2" t="s">
        <v>7</v>
      </c>
      <c r="B219" s="2" t="n">
        <v>1</v>
      </c>
      <c r="C219" s="2" t="n">
        <v>0.1</v>
      </c>
      <c r="D219" s="2" t="n">
        <v>2</v>
      </c>
      <c r="E219" s="2" t="n">
        <v>0.0809</v>
      </c>
    </row>
    <row r="220" customFormat="false" ht="15" hidden="false" customHeight="false" outlineLevel="0" collapsed="false">
      <c r="A220" s="2" t="s">
        <v>7</v>
      </c>
      <c r="B220" s="2" t="n">
        <v>1</v>
      </c>
      <c r="C220" s="2" t="n">
        <v>0.1</v>
      </c>
      <c r="D220" s="2" t="n">
        <v>3</v>
      </c>
      <c r="E220" s="2" t="n">
        <v>0.0726</v>
      </c>
    </row>
    <row r="221" customFormat="false" ht="15" hidden="false" customHeight="false" outlineLevel="0" collapsed="false">
      <c r="A221" s="2" t="s">
        <v>7</v>
      </c>
      <c r="B221" s="2" t="n">
        <v>1</v>
      </c>
      <c r="C221" s="2" t="n">
        <v>0.25</v>
      </c>
      <c r="D221" s="2" t="n">
        <v>1</v>
      </c>
      <c r="E221" s="2" t="n">
        <v>0.1675</v>
      </c>
    </row>
    <row r="222" customFormat="false" ht="15" hidden="false" customHeight="false" outlineLevel="0" collapsed="false">
      <c r="A222" s="2" t="s">
        <v>7</v>
      </c>
      <c r="B222" s="2" t="n">
        <v>1</v>
      </c>
      <c r="C222" s="2" t="n">
        <v>0.25</v>
      </c>
      <c r="D222" s="2" t="n">
        <v>2</v>
      </c>
      <c r="E222" s="2" t="n">
        <v>0.1706</v>
      </c>
    </row>
    <row r="223" customFormat="false" ht="15" hidden="false" customHeight="false" outlineLevel="0" collapsed="false">
      <c r="A223" s="2" t="s">
        <v>7</v>
      </c>
      <c r="B223" s="2" t="n">
        <v>1</v>
      </c>
      <c r="C223" s="2" t="n">
        <v>0.25</v>
      </c>
      <c r="D223" s="2" t="n">
        <v>3</v>
      </c>
      <c r="E223" s="2" t="n">
        <v>0.1724</v>
      </c>
    </row>
    <row r="224" customFormat="false" ht="15" hidden="false" customHeight="false" outlineLevel="0" collapsed="false">
      <c r="A224" s="2" t="s">
        <v>7</v>
      </c>
      <c r="B224" s="2" t="n">
        <v>1</v>
      </c>
      <c r="C224" s="2" t="n">
        <v>0.5</v>
      </c>
      <c r="D224" s="2" t="n">
        <v>1</v>
      </c>
      <c r="E224" s="2" t="n">
        <v>0.3145</v>
      </c>
    </row>
    <row r="225" customFormat="false" ht="15" hidden="false" customHeight="false" outlineLevel="0" collapsed="false">
      <c r="A225" s="2" t="s">
        <v>7</v>
      </c>
      <c r="B225" s="2" t="n">
        <v>1</v>
      </c>
      <c r="C225" s="2" t="n">
        <v>0.5</v>
      </c>
      <c r="D225" s="2" t="n">
        <v>2</v>
      </c>
      <c r="E225" s="2" t="n">
        <v>0.3188</v>
      </c>
    </row>
    <row r="226" customFormat="false" ht="15" hidden="false" customHeight="false" outlineLevel="0" collapsed="false">
      <c r="A226" s="2" t="s">
        <v>7</v>
      </c>
      <c r="B226" s="2" t="n">
        <v>1</v>
      </c>
      <c r="C226" s="2" t="n">
        <v>0.5</v>
      </c>
      <c r="D226" s="2" t="n">
        <v>3</v>
      </c>
      <c r="E226" s="2" t="n">
        <v>0.3181</v>
      </c>
    </row>
    <row r="227" customFormat="false" ht="15" hidden="false" customHeight="false" outlineLevel="0" collapsed="false">
      <c r="A227" s="2" t="s">
        <v>7</v>
      </c>
      <c r="B227" s="2" t="n">
        <v>1</v>
      </c>
      <c r="C227" s="2" t="n">
        <v>1</v>
      </c>
      <c r="D227" s="2" t="n">
        <v>1</v>
      </c>
      <c r="E227" s="2" t="n">
        <v>0.622</v>
      </c>
    </row>
    <row r="228" customFormat="false" ht="15" hidden="false" customHeight="false" outlineLevel="0" collapsed="false">
      <c r="A228" s="2" t="s">
        <v>7</v>
      </c>
      <c r="B228" s="2" t="n">
        <v>1</v>
      </c>
      <c r="C228" s="2" t="n">
        <v>1</v>
      </c>
      <c r="D228" s="2" t="n">
        <v>2</v>
      </c>
      <c r="E228" s="2" t="n">
        <v>0.6341</v>
      </c>
    </row>
    <row r="229" customFormat="false" ht="15" hidden="false" customHeight="false" outlineLevel="0" collapsed="false">
      <c r="A229" s="2" t="s">
        <v>7</v>
      </c>
      <c r="B229" s="2" t="n">
        <v>1</v>
      </c>
      <c r="C229" s="2" t="n">
        <v>1</v>
      </c>
      <c r="D229" s="2" t="n">
        <v>3</v>
      </c>
      <c r="E229" s="2" t="n">
        <v>0.6273</v>
      </c>
    </row>
    <row r="230" customFormat="false" ht="15" hidden="false" customHeight="false" outlineLevel="0" collapsed="false">
      <c r="A230" s="2" t="s">
        <v>7</v>
      </c>
      <c r="B230" s="2" t="n">
        <v>1</v>
      </c>
      <c r="C230" s="2" t="n">
        <v>2</v>
      </c>
      <c r="D230" s="2" t="n">
        <v>1</v>
      </c>
      <c r="E230" s="2" t="n">
        <v>1.2286</v>
      </c>
    </row>
    <row r="231" customFormat="false" ht="15" hidden="false" customHeight="false" outlineLevel="0" collapsed="false">
      <c r="A231" s="2" t="s">
        <v>7</v>
      </c>
      <c r="B231" s="2" t="n">
        <v>1</v>
      </c>
      <c r="C231" s="2" t="n">
        <v>2</v>
      </c>
      <c r="D231" s="2" t="n">
        <v>2</v>
      </c>
      <c r="E231" s="2" t="n">
        <v>1.2395</v>
      </c>
    </row>
    <row r="232" customFormat="false" ht="15" hidden="false" customHeight="false" outlineLevel="0" collapsed="false">
      <c r="A232" s="2" t="s">
        <v>7</v>
      </c>
      <c r="B232" s="2" t="n">
        <v>1</v>
      </c>
      <c r="C232" s="2" t="n">
        <v>2</v>
      </c>
      <c r="D232" s="2" t="n">
        <v>3</v>
      </c>
      <c r="E232" s="2" t="n">
        <v>1.2455</v>
      </c>
    </row>
    <row r="233" customFormat="false" ht="15" hidden="false" customHeight="false" outlineLevel="0" collapsed="false">
      <c r="A233" s="2" t="s">
        <v>7</v>
      </c>
      <c r="B233" s="2" t="n">
        <v>2</v>
      </c>
      <c r="C233" s="2" t="n">
        <v>0</v>
      </c>
      <c r="D233" s="2" t="n">
        <v>1</v>
      </c>
      <c r="E233" s="2" t="n">
        <v>0.008</v>
      </c>
    </row>
    <row r="234" customFormat="false" ht="15" hidden="false" customHeight="false" outlineLevel="0" collapsed="false">
      <c r="A234" s="2" t="s">
        <v>7</v>
      </c>
      <c r="B234" s="2" t="n">
        <v>2</v>
      </c>
      <c r="C234" s="2" t="n">
        <v>0</v>
      </c>
      <c r="D234" s="2" t="n">
        <v>2</v>
      </c>
      <c r="E234" s="2" t="n">
        <v>0.0168</v>
      </c>
    </row>
    <row r="235" customFormat="false" ht="15" hidden="false" customHeight="false" outlineLevel="0" collapsed="false">
      <c r="A235" s="2" t="s">
        <v>7</v>
      </c>
      <c r="B235" s="2" t="n">
        <v>2</v>
      </c>
      <c r="C235" s="2" t="n">
        <v>0</v>
      </c>
      <c r="D235" s="2" t="n">
        <v>3</v>
      </c>
      <c r="E235" s="2" t="n">
        <v>0.0069</v>
      </c>
    </row>
    <row r="236" customFormat="false" ht="15" hidden="false" customHeight="false" outlineLevel="0" collapsed="false">
      <c r="A236" s="2" t="s">
        <v>7</v>
      </c>
      <c r="B236" s="2" t="n">
        <v>2</v>
      </c>
      <c r="C236" s="2" t="n">
        <v>0.05</v>
      </c>
      <c r="D236" s="2" t="n">
        <v>1</v>
      </c>
      <c r="E236" s="2" t="n">
        <v>0.0438</v>
      </c>
    </row>
    <row r="237" customFormat="false" ht="15" hidden="false" customHeight="false" outlineLevel="0" collapsed="false">
      <c r="A237" s="2" t="s">
        <v>7</v>
      </c>
      <c r="B237" s="2" t="n">
        <v>2</v>
      </c>
      <c r="C237" s="2" t="n">
        <v>0.05</v>
      </c>
      <c r="D237" s="2" t="n">
        <v>2</v>
      </c>
      <c r="E237" s="2" t="n">
        <v>0.0454</v>
      </c>
    </row>
    <row r="238" customFormat="false" ht="15" hidden="false" customHeight="false" outlineLevel="0" collapsed="false">
      <c r="A238" s="2" t="s">
        <v>7</v>
      </c>
      <c r="B238" s="2" t="n">
        <v>2</v>
      </c>
      <c r="C238" s="2" t="n">
        <v>0.05</v>
      </c>
      <c r="D238" s="2" t="n">
        <v>3</v>
      </c>
      <c r="E238" s="2" t="n">
        <v>0.0369</v>
      </c>
    </row>
    <row r="239" customFormat="false" ht="15" hidden="false" customHeight="false" outlineLevel="0" collapsed="false">
      <c r="A239" s="2" t="s">
        <v>7</v>
      </c>
      <c r="B239" s="2" t="n">
        <v>2</v>
      </c>
      <c r="C239" s="2" t="n">
        <v>0.1</v>
      </c>
      <c r="D239" s="2" t="n">
        <v>1</v>
      </c>
      <c r="E239" s="2" t="n">
        <v>0.0724</v>
      </c>
    </row>
    <row r="240" customFormat="false" ht="15" hidden="false" customHeight="false" outlineLevel="0" collapsed="false">
      <c r="A240" s="2" t="s">
        <v>7</v>
      </c>
      <c r="B240" s="2" t="n">
        <v>2</v>
      </c>
      <c r="C240" s="2" t="n">
        <v>0.1</v>
      </c>
      <c r="D240" s="2" t="n">
        <v>2</v>
      </c>
      <c r="E240" s="2" t="n">
        <v>0.0565</v>
      </c>
    </row>
    <row r="241" customFormat="false" ht="15" hidden="false" customHeight="false" outlineLevel="0" collapsed="false">
      <c r="A241" s="2" t="s">
        <v>7</v>
      </c>
      <c r="B241" s="2" t="n">
        <v>2</v>
      </c>
      <c r="C241" s="2" t="n">
        <v>0.1</v>
      </c>
      <c r="D241" s="2" t="n">
        <v>3</v>
      </c>
      <c r="E241" s="2" t="n">
        <v>0.0676</v>
      </c>
    </row>
    <row r="242" customFormat="false" ht="15" hidden="false" customHeight="false" outlineLevel="0" collapsed="false">
      <c r="A242" s="2" t="s">
        <v>7</v>
      </c>
      <c r="B242" s="2" t="n">
        <v>2</v>
      </c>
      <c r="C242" s="2" t="n">
        <v>0.25</v>
      </c>
      <c r="D242" s="2" t="n">
        <v>1</v>
      </c>
      <c r="E242" s="2" t="n">
        <v>0.1648</v>
      </c>
    </row>
    <row r="243" customFormat="false" ht="15" hidden="false" customHeight="false" outlineLevel="0" collapsed="false">
      <c r="A243" s="2" t="s">
        <v>7</v>
      </c>
      <c r="B243" s="2" t="n">
        <v>2</v>
      </c>
      <c r="C243" s="2" t="n">
        <v>0.25</v>
      </c>
      <c r="D243" s="2" t="n">
        <v>2</v>
      </c>
      <c r="E243" s="2" t="n">
        <v>0.1599</v>
      </c>
    </row>
    <row r="244" customFormat="false" ht="15" hidden="false" customHeight="false" outlineLevel="0" collapsed="false">
      <c r="A244" s="2" t="s">
        <v>7</v>
      </c>
      <c r="B244" s="2" t="n">
        <v>2</v>
      </c>
      <c r="C244" s="2" t="n">
        <v>0.25</v>
      </c>
      <c r="D244" s="2" t="n">
        <v>3</v>
      </c>
      <c r="E244" s="2" t="n">
        <v>0.1743</v>
      </c>
    </row>
    <row r="245" customFormat="false" ht="15" hidden="false" customHeight="false" outlineLevel="0" collapsed="false">
      <c r="A245" s="2" t="s">
        <v>7</v>
      </c>
      <c r="B245" s="2" t="n">
        <v>2</v>
      </c>
      <c r="C245" s="2" t="n">
        <v>0.5</v>
      </c>
      <c r="D245" s="2" t="n">
        <v>1</v>
      </c>
      <c r="E245" s="2" t="n">
        <v>0.3146</v>
      </c>
    </row>
    <row r="246" customFormat="false" ht="15" hidden="false" customHeight="false" outlineLevel="0" collapsed="false">
      <c r="A246" s="2" t="s">
        <v>7</v>
      </c>
      <c r="B246" s="2" t="n">
        <v>2</v>
      </c>
      <c r="C246" s="2" t="n">
        <v>0.5</v>
      </c>
      <c r="D246" s="2" t="n">
        <v>2</v>
      </c>
      <c r="E246" s="2" t="n">
        <v>0.3196</v>
      </c>
    </row>
    <row r="247" customFormat="false" ht="15" hidden="false" customHeight="false" outlineLevel="0" collapsed="false">
      <c r="A247" s="2" t="s">
        <v>7</v>
      </c>
      <c r="B247" s="2" t="n">
        <v>2</v>
      </c>
      <c r="C247" s="2" t="n">
        <v>0.5</v>
      </c>
      <c r="D247" s="2" t="n">
        <v>3</v>
      </c>
      <c r="E247" s="2" t="n">
        <v>0.3224</v>
      </c>
    </row>
    <row r="248" customFormat="false" ht="15" hidden="false" customHeight="false" outlineLevel="0" collapsed="false">
      <c r="A248" s="2" t="s">
        <v>7</v>
      </c>
      <c r="B248" s="2" t="n">
        <v>2</v>
      </c>
      <c r="C248" s="2" t="n">
        <v>1</v>
      </c>
      <c r="D248" s="2" t="n">
        <v>1</v>
      </c>
      <c r="E248" s="2" t="n">
        <v>0.6403</v>
      </c>
    </row>
    <row r="249" customFormat="false" ht="15" hidden="false" customHeight="false" outlineLevel="0" collapsed="false">
      <c r="A249" s="2" t="s">
        <v>7</v>
      </c>
      <c r="B249" s="2" t="n">
        <v>2</v>
      </c>
      <c r="C249" s="2" t="n">
        <v>1</v>
      </c>
      <c r="D249" s="2" t="n">
        <v>2</v>
      </c>
      <c r="E249" s="2" t="n">
        <v>0.6259</v>
      </c>
    </row>
    <row r="250" customFormat="false" ht="15" hidden="false" customHeight="false" outlineLevel="0" collapsed="false">
      <c r="A250" s="2" t="s">
        <v>7</v>
      </c>
      <c r="B250" s="2" t="n">
        <v>2</v>
      </c>
      <c r="C250" s="2" t="n">
        <v>1</v>
      </c>
      <c r="D250" s="2" t="n">
        <v>3</v>
      </c>
      <c r="E250" s="2" t="n">
        <v>0.6389</v>
      </c>
    </row>
    <row r="251" customFormat="false" ht="15" hidden="false" customHeight="false" outlineLevel="0" collapsed="false">
      <c r="A251" s="2" t="s">
        <v>7</v>
      </c>
      <c r="B251" s="2" t="n">
        <v>2</v>
      </c>
      <c r="C251" s="2" t="n">
        <v>2</v>
      </c>
      <c r="D251" s="2" t="n">
        <v>1</v>
      </c>
      <c r="E251" s="2" t="n">
        <v>1.2557</v>
      </c>
    </row>
    <row r="252" customFormat="false" ht="15" hidden="false" customHeight="false" outlineLevel="0" collapsed="false">
      <c r="A252" s="2" t="s">
        <v>7</v>
      </c>
      <c r="B252" s="2" t="n">
        <v>2</v>
      </c>
      <c r="C252" s="2" t="n">
        <v>2</v>
      </c>
      <c r="D252" s="2" t="n">
        <v>2</v>
      </c>
      <c r="E252" s="2" t="n">
        <v>1.2508</v>
      </c>
    </row>
    <row r="253" customFormat="false" ht="15" hidden="false" customHeight="false" outlineLevel="0" collapsed="false">
      <c r="A253" s="2" t="s">
        <v>7</v>
      </c>
      <c r="B253" s="2" t="n">
        <v>2</v>
      </c>
      <c r="C253" s="2" t="n">
        <v>2</v>
      </c>
      <c r="D253" s="2" t="n">
        <v>3</v>
      </c>
      <c r="E253" s="2" t="n">
        <v>1.258</v>
      </c>
    </row>
    <row r="254" customFormat="false" ht="15" hidden="false" customHeight="false" outlineLevel="0" collapsed="false">
      <c r="A254" s="2" t="s">
        <v>7</v>
      </c>
      <c r="B254" s="2" t="n">
        <v>3</v>
      </c>
      <c r="C254" s="2" t="n">
        <v>0</v>
      </c>
      <c r="D254" s="2" t="n">
        <v>1</v>
      </c>
      <c r="E254" s="2" t="n">
        <v>0.0135</v>
      </c>
    </row>
    <row r="255" customFormat="false" ht="15" hidden="false" customHeight="false" outlineLevel="0" collapsed="false">
      <c r="A255" s="2" t="s">
        <v>7</v>
      </c>
      <c r="B255" s="2" t="n">
        <v>3</v>
      </c>
      <c r="C255" s="2" t="n">
        <v>0</v>
      </c>
      <c r="D255" s="2" t="n">
        <v>2</v>
      </c>
      <c r="E255" s="2" t="n">
        <v>0.0113</v>
      </c>
    </row>
    <row r="256" customFormat="false" ht="15" hidden="false" customHeight="false" outlineLevel="0" collapsed="false">
      <c r="A256" s="2" t="s">
        <v>7</v>
      </c>
      <c r="B256" s="2" t="n">
        <v>3</v>
      </c>
      <c r="C256" s="2" t="n">
        <v>0</v>
      </c>
      <c r="D256" s="2" t="n">
        <v>3</v>
      </c>
      <c r="E256" s="2" t="n">
        <v>0.0138</v>
      </c>
    </row>
    <row r="257" customFormat="false" ht="15" hidden="false" customHeight="false" outlineLevel="0" collapsed="false">
      <c r="A257" s="2" t="s">
        <v>7</v>
      </c>
      <c r="B257" s="2" t="n">
        <v>3</v>
      </c>
      <c r="C257" s="2" t="n">
        <v>0.05</v>
      </c>
      <c r="D257" s="2" t="n">
        <v>1</v>
      </c>
      <c r="E257" s="2" t="n">
        <v>0.0473</v>
      </c>
    </row>
    <row r="258" customFormat="false" ht="15" hidden="false" customHeight="false" outlineLevel="0" collapsed="false">
      <c r="A258" s="2" t="s">
        <v>7</v>
      </c>
      <c r="B258" s="2" t="n">
        <v>3</v>
      </c>
      <c r="C258" s="2" t="n">
        <v>0.05</v>
      </c>
      <c r="D258" s="2" t="n">
        <v>2</v>
      </c>
      <c r="E258" s="2" t="n">
        <v>0.052</v>
      </c>
    </row>
    <row r="259" customFormat="false" ht="15" hidden="false" customHeight="false" outlineLevel="0" collapsed="false">
      <c r="A259" s="2" t="s">
        <v>7</v>
      </c>
      <c r="B259" s="2" t="n">
        <v>3</v>
      </c>
      <c r="C259" s="2" t="n">
        <v>0.05</v>
      </c>
      <c r="D259" s="2" t="n">
        <v>3</v>
      </c>
      <c r="E259" s="2" t="n">
        <v>0.0378</v>
      </c>
    </row>
    <row r="260" customFormat="false" ht="15" hidden="false" customHeight="false" outlineLevel="0" collapsed="false">
      <c r="A260" s="2" t="s">
        <v>7</v>
      </c>
      <c r="B260" s="2" t="n">
        <v>3</v>
      </c>
      <c r="C260" s="2" t="n">
        <v>0.1</v>
      </c>
      <c r="D260" s="2" t="n">
        <v>1</v>
      </c>
      <c r="E260" s="2" t="n">
        <v>0.0855</v>
      </c>
    </row>
    <row r="261" customFormat="false" ht="15" hidden="false" customHeight="false" outlineLevel="0" collapsed="false">
      <c r="A261" s="2" t="s">
        <v>7</v>
      </c>
      <c r="B261" s="2" t="n">
        <v>3</v>
      </c>
      <c r="C261" s="2" t="n">
        <v>0.1</v>
      </c>
      <c r="D261" s="2" t="n">
        <v>2</v>
      </c>
      <c r="E261" s="2" t="n">
        <v>0.0651</v>
      </c>
    </row>
    <row r="262" customFormat="false" ht="15" hidden="false" customHeight="false" outlineLevel="0" collapsed="false">
      <c r="A262" s="2" t="s">
        <v>7</v>
      </c>
      <c r="B262" s="2" t="n">
        <v>3</v>
      </c>
      <c r="C262" s="2" t="n">
        <v>0.1</v>
      </c>
      <c r="D262" s="2" t="n">
        <v>3</v>
      </c>
      <c r="E262" s="2" t="n">
        <v>0.0741</v>
      </c>
    </row>
    <row r="263" customFormat="false" ht="15" hidden="false" customHeight="false" outlineLevel="0" collapsed="false">
      <c r="A263" s="2" t="s">
        <v>7</v>
      </c>
      <c r="B263" s="2" t="n">
        <v>3</v>
      </c>
      <c r="C263" s="2" t="n">
        <v>0.25</v>
      </c>
      <c r="D263" s="2" t="n">
        <v>1</v>
      </c>
      <c r="E263" s="2" t="n">
        <v>0.1703</v>
      </c>
    </row>
    <row r="264" customFormat="false" ht="15" hidden="false" customHeight="false" outlineLevel="0" collapsed="false">
      <c r="A264" s="2" t="s">
        <v>7</v>
      </c>
      <c r="B264" s="2" t="n">
        <v>3</v>
      </c>
      <c r="C264" s="2" t="n">
        <v>0.25</v>
      </c>
      <c r="D264" s="2" t="n">
        <v>2</v>
      </c>
      <c r="E264" s="2" t="n">
        <v>0.1687</v>
      </c>
    </row>
    <row r="265" customFormat="false" ht="15" hidden="false" customHeight="false" outlineLevel="0" collapsed="false">
      <c r="A265" s="2" t="s">
        <v>7</v>
      </c>
      <c r="B265" s="2" t="n">
        <v>3</v>
      </c>
      <c r="C265" s="2" t="n">
        <v>0.25</v>
      </c>
      <c r="D265" s="2" t="n">
        <v>3</v>
      </c>
      <c r="E265" s="2" t="n">
        <v>0.1642</v>
      </c>
    </row>
    <row r="266" customFormat="false" ht="15" hidden="false" customHeight="false" outlineLevel="0" collapsed="false">
      <c r="A266" s="2" t="s">
        <v>7</v>
      </c>
      <c r="B266" s="2" t="n">
        <v>3</v>
      </c>
      <c r="C266" s="2" t="n">
        <v>0.5</v>
      </c>
      <c r="D266" s="2" t="n">
        <v>1</v>
      </c>
      <c r="E266" s="2" t="n">
        <v>0.3204</v>
      </c>
    </row>
    <row r="267" customFormat="false" ht="15" hidden="false" customHeight="false" outlineLevel="0" collapsed="false">
      <c r="A267" s="2" t="s">
        <v>7</v>
      </c>
      <c r="B267" s="2" t="n">
        <v>3</v>
      </c>
      <c r="C267" s="2" t="n">
        <v>0.5</v>
      </c>
      <c r="D267" s="2" t="n">
        <v>2</v>
      </c>
      <c r="E267" s="2" t="n">
        <v>0.319</v>
      </c>
    </row>
    <row r="268" customFormat="false" ht="15" hidden="false" customHeight="false" outlineLevel="0" collapsed="false">
      <c r="A268" s="2" t="s">
        <v>7</v>
      </c>
      <c r="B268" s="2" t="n">
        <v>3</v>
      </c>
      <c r="C268" s="2" t="n">
        <v>0.5</v>
      </c>
      <c r="D268" s="2" t="n">
        <v>3</v>
      </c>
      <c r="E268" s="2" t="n">
        <v>0.3185</v>
      </c>
    </row>
    <row r="269" customFormat="false" ht="15" hidden="false" customHeight="false" outlineLevel="0" collapsed="false">
      <c r="A269" s="2" t="s">
        <v>7</v>
      </c>
      <c r="B269" s="2" t="n">
        <v>3</v>
      </c>
      <c r="C269" s="2" t="n">
        <v>1</v>
      </c>
      <c r="D269" s="2" t="n">
        <v>1</v>
      </c>
      <c r="E269" s="2" t="n">
        <v>0.6339</v>
      </c>
    </row>
    <row r="270" customFormat="false" ht="15" hidden="false" customHeight="false" outlineLevel="0" collapsed="false">
      <c r="A270" s="2" t="s">
        <v>7</v>
      </c>
      <c r="B270" s="2" t="n">
        <v>3</v>
      </c>
      <c r="C270" s="2" t="n">
        <v>1</v>
      </c>
      <c r="D270" s="2" t="n">
        <v>2</v>
      </c>
      <c r="E270" s="2" t="n">
        <v>0.6315</v>
      </c>
    </row>
    <row r="271" customFormat="false" ht="15" hidden="false" customHeight="false" outlineLevel="0" collapsed="false">
      <c r="A271" s="2" t="s">
        <v>7</v>
      </c>
      <c r="B271" s="2" t="n">
        <v>3</v>
      </c>
      <c r="C271" s="2" t="n">
        <v>1</v>
      </c>
      <c r="D271" s="2" t="n">
        <v>3</v>
      </c>
      <c r="E271" s="2" t="n">
        <v>0.6262</v>
      </c>
    </row>
    <row r="272" customFormat="false" ht="15" hidden="false" customHeight="false" outlineLevel="0" collapsed="false">
      <c r="A272" s="2" t="s">
        <v>7</v>
      </c>
      <c r="B272" s="2" t="n">
        <v>3</v>
      </c>
      <c r="C272" s="2" t="n">
        <v>2</v>
      </c>
      <c r="D272" s="2" t="n">
        <v>1</v>
      </c>
      <c r="E272" s="2" t="n">
        <v>1.2506</v>
      </c>
    </row>
    <row r="273" customFormat="false" ht="15" hidden="false" customHeight="false" outlineLevel="0" collapsed="false">
      <c r="A273" s="2" t="s">
        <v>7</v>
      </c>
      <c r="B273" s="2" t="n">
        <v>3</v>
      </c>
      <c r="C273" s="2" t="n">
        <v>2</v>
      </c>
      <c r="D273" s="2" t="n">
        <v>2</v>
      </c>
      <c r="E273" s="2" t="n">
        <v>1.2477</v>
      </c>
    </row>
    <row r="274" customFormat="false" ht="15" hidden="false" customHeight="false" outlineLevel="0" collapsed="false">
      <c r="A274" s="2" t="s">
        <v>7</v>
      </c>
      <c r="B274" s="2" t="n">
        <v>3</v>
      </c>
      <c r="C274" s="2" t="n">
        <v>2</v>
      </c>
      <c r="D274" s="2" t="n">
        <v>3</v>
      </c>
      <c r="E274" s="2" t="n">
        <v>1.2502</v>
      </c>
    </row>
    <row r="275" customFormat="false" ht="15" hidden="false" customHeight="false" outlineLevel="0" collapsed="false">
      <c r="A275" s="2" t="s">
        <v>7</v>
      </c>
      <c r="B275" s="2" t="n">
        <v>4</v>
      </c>
      <c r="C275" s="2" t="n">
        <v>0</v>
      </c>
      <c r="D275" s="2" t="n">
        <v>1</v>
      </c>
      <c r="E275" s="2" t="n">
        <v>0.0097</v>
      </c>
    </row>
    <row r="276" customFormat="false" ht="15" hidden="false" customHeight="false" outlineLevel="0" collapsed="false">
      <c r="A276" s="2" t="s">
        <v>7</v>
      </c>
      <c r="B276" s="2" t="n">
        <v>4</v>
      </c>
      <c r="C276" s="2" t="n">
        <v>0</v>
      </c>
      <c r="D276" s="2" t="n">
        <v>2</v>
      </c>
      <c r="E276" s="2" t="n">
        <v>0.0162</v>
      </c>
    </row>
    <row r="277" customFormat="false" ht="15" hidden="false" customHeight="false" outlineLevel="0" collapsed="false">
      <c r="A277" s="2" t="s">
        <v>7</v>
      </c>
      <c r="B277" s="2" t="n">
        <v>4</v>
      </c>
      <c r="C277" s="2" t="n">
        <v>0</v>
      </c>
      <c r="D277" s="2" t="n">
        <v>3</v>
      </c>
      <c r="E277" s="2" t="n">
        <v>0.0156</v>
      </c>
    </row>
    <row r="278" customFormat="false" ht="15" hidden="false" customHeight="false" outlineLevel="0" collapsed="false">
      <c r="A278" s="2" t="s">
        <v>7</v>
      </c>
      <c r="B278" s="2" t="n">
        <v>4</v>
      </c>
      <c r="C278" s="2" t="n">
        <v>0.05</v>
      </c>
      <c r="D278" s="2" t="n">
        <v>1</v>
      </c>
      <c r="E278" s="2" t="n">
        <v>0.0434</v>
      </c>
    </row>
    <row r="279" customFormat="false" ht="15" hidden="false" customHeight="false" outlineLevel="0" collapsed="false">
      <c r="A279" s="2" t="s">
        <v>7</v>
      </c>
      <c r="B279" s="2" t="n">
        <v>4</v>
      </c>
      <c r="C279" s="2" t="n">
        <v>0.05</v>
      </c>
      <c r="D279" s="2" t="n">
        <v>2</v>
      </c>
      <c r="E279" s="2" t="n">
        <v>0.0441</v>
      </c>
    </row>
    <row r="280" customFormat="false" ht="15" hidden="false" customHeight="false" outlineLevel="0" collapsed="false">
      <c r="A280" s="2" t="s">
        <v>7</v>
      </c>
      <c r="B280" s="2" t="n">
        <v>4</v>
      </c>
      <c r="C280" s="2" t="n">
        <v>0.05</v>
      </c>
      <c r="D280" s="2" t="n">
        <v>3</v>
      </c>
      <c r="E280" s="2" t="n">
        <v>0.0499</v>
      </c>
    </row>
    <row r="281" customFormat="false" ht="15" hidden="false" customHeight="false" outlineLevel="0" collapsed="false">
      <c r="A281" s="2" t="s">
        <v>7</v>
      </c>
      <c r="B281" s="2" t="n">
        <v>4</v>
      </c>
      <c r="C281" s="2" t="n">
        <v>0.1</v>
      </c>
      <c r="D281" s="2" t="n">
        <v>1</v>
      </c>
      <c r="E281" s="2" t="n">
        <v>0.0715</v>
      </c>
    </row>
    <row r="282" customFormat="false" ht="15" hidden="false" customHeight="false" outlineLevel="0" collapsed="false">
      <c r="A282" s="2" t="s">
        <v>7</v>
      </c>
      <c r="B282" s="2" t="n">
        <v>4</v>
      </c>
      <c r="C282" s="2" t="n">
        <v>0.1</v>
      </c>
      <c r="D282" s="2" t="n">
        <v>2</v>
      </c>
      <c r="E282" s="2" t="n">
        <v>0.0772</v>
      </c>
    </row>
    <row r="283" customFormat="false" ht="15" hidden="false" customHeight="false" outlineLevel="0" collapsed="false">
      <c r="A283" s="2" t="s">
        <v>7</v>
      </c>
      <c r="B283" s="2" t="n">
        <v>4</v>
      </c>
      <c r="C283" s="2" t="n">
        <v>0.1</v>
      </c>
      <c r="D283" s="2" t="n">
        <v>3</v>
      </c>
      <c r="E283" s="2" t="n">
        <v>0.0735</v>
      </c>
    </row>
    <row r="284" customFormat="false" ht="15" hidden="false" customHeight="false" outlineLevel="0" collapsed="false">
      <c r="A284" s="2" t="s">
        <v>7</v>
      </c>
      <c r="B284" s="2" t="n">
        <v>4</v>
      </c>
      <c r="C284" s="2" t="n">
        <v>0.25</v>
      </c>
      <c r="D284" s="2" t="n">
        <v>1</v>
      </c>
      <c r="E284" s="2" t="n">
        <v>0.1663</v>
      </c>
    </row>
    <row r="285" customFormat="false" ht="15" hidden="false" customHeight="false" outlineLevel="0" collapsed="false">
      <c r="A285" s="2" t="s">
        <v>7</v>
      </c>
      <c r="B285" s="2" t="n">
        <v>4</v>
      </c>
      <c r="C285" s="2" t="n">
        <v>0.25</v>
      </c>
      <c r="D285" s="2" t="n">
        <v>2</v>
      </c>
      <c r="E285" s="2" t="n">
        <v>0.1729</v>
      </c>
    </row>
    <row r="286" customFormat="false" ht="15" hidden="false" customHeight="false" outlineLevel="0" collapsed="false">
      <c r="A286" s="2" t="s">
        <v>7</v>
      </c>
      <c r="B286" s="2" t="n">
        <v>4</v>
      </c>
      <c r="C286" s="2" t="n">
        <v>0.25</v>
      </c>
      <c r="D286" s="2" t="n">
        <v>3</v>
      </c>
      <c r="E286" s="2" t="n">
        <v>0.1716</v>
      </c>
    </row>
    <row r="287" customFormat="false" ht="15" hidden="false" customHeight="false" outlineLevel="0" collapsed="false">
      <c r="A287" s="2" t="s">
        <v>7</v>
      </c>
      <c r="B287" s="2" t="n">
        <v>4</v>
      </c>
      <c r="C287" s="2" t="n">
        <v>0.5</v>
      </c>
      <c r="D287" s="2" t="n">
        <v>1</v>
      </c>
      <c r="E287" s="2" t="n">
        <v>0.3264</v>
      </c>
    </row>
    <row r="288" customFormat="false" ht="15" hidden="false" customHeight="false" outlineLevel="0" collapsed="false">
      <c r="A288" s="2" t="s">
        <v>7</v>
      </c>
      <c r="B288" s="2" t="n">
        <v>4</v>
      </c>
      <c r="C288" s="2" t="n">
        <v>0.5</v>
      </c>
      <c r="D288" s="2" t="n">
        <v>2</v>
      </c>
      <c r="E288" s="2" t="n">
        <v>0.3289</v>
      </c>
    </row>
    <row r="289" customFormat="false" ht="15" hidden="false" customHeight="false" outlineLevel="0" collapsed="false">
      <c r="A289" s="2" t="s">
        <v>7</v>
      </c>
      <c r="B289" s="2" t="n">
        <v>4</v>
      </c>
      <c r="C289" s="2" t="n">
        <v>0.5</v>
      </c>
      <c r="D289" s="2" t="n">
        <v>3</v>
      </c>
      <c r="E289" s="2" t="n">
        <v>0.3224</v>
      </c>
    </row>
    <row r="290" customFormat="false" ht="15" hidden="false" customHeight="false" outlineLevel="0" collapsed="false">
      <c r="A290" s="2" t="s">
        <v>7</v>
      </c>
      <c r="B290" s="2" t="n">
        <v>4</v>
      </c>
      <c r="C290" s="2" t="n">
        <v>1</v>
      </c>
      <c r="D290" s="2" t="n">
        <v>1</v>
      </c>
      <c r="E290" s="2" t="n">
        <v>0.6356</v>
      </c>
    </row>
    <row r="291" customFormat="false" ht="15" hidden="false" customHeight="false" outlineLevel="0" collapsed="false">
      <c r="A291" s="2" t="s">
        <v>7</v>
      </c>
      <c r="B291" s="2" t="n">
        <v>4</v>
      </c>
      <c r="C291" s="2" t="n">
        <v>1</v>
      </c>
      <c r="D291" s="2" t="n">
        <v>2</v>
      </c>
      <c r="E291" s="2" t="n">
        <v>0.6306</v>
      </c>
    </row>
    <row r="292" customFormat="false" ht="15" hidden="false" customHeight="false" outlineLevel="0" collapsed="false">
      <c r="A292" s="2" t="s">
        <v>7</v>
      </c>
      <c r="B292" s="2" t="n">
        <v>4</v>
      </c>
      <c r="C292" s="2" t="n">
        <v>1</v>
      </c>
      <c r="D292" s="2" t="n">
        <v>3</v>
      </c>
      <c r="E292" s="2" t="n">
        <v>0.6338</v>
      </c>
    </row>
    <row r="293" customFormat="false" ht="15" hidden="false" customHeight="false" outlineLevel="0" collapsed="false">
      <c r="A293" s="2" t="s">
        <v>7</v>
      </c>
      <c r="B293" s="2" t="n">
        <v>4</v>
      </c>
      <c r="C293" s="2" t="n">
        <v>2</v>
      </c>
      <c r="D293" s="2" t="n">
        <v>1</v>
      </c>
      <c r="E293" s="2" t="n">
        <v>1.2512</v>
      </c>
    </row>
    <row r="294" customFormat="false" ht="15" hidden="false" customHeight="false" outlineLevel="0" collapsed="false">
      <c r="A294" s="2" t="s">
        <v>7</v>
      </c>
      <c r="B294" s="2" t="n">
        <v>4</v>
      </c>
      <c r="C294" s="2" t="n">
        <v>2</v>
      </c>
      <c r="D294" s="2" t="n">
        <v>2</v>
      </c>
      <c r="E294" s="2" t="n">
        <v>1.2523</v>
      </c>
    </row>
    <row r="295" customFormat="false" ht="15" hidden="false" customHeight="false" outlineLevel="0" collapsed="false">
      <c r="A295" s="2" t="s">
        <v>7</v>
      </c>
      <c r="B295" s="2" t="n">
        <v>4</v>
      </c>
      <c r="C295" s="2" t="n">
        <v>2</v>
      </c>
      <c r="D295" s="2" t="n">
        <v>3</v>
      </c>
      <c r="E295" s="2" t="n">
        <v>1.2548</v>
      </c>
    </row>
    <row r="296" customFormat="false" ht="15" hidden="false" customHeight="false" outlineLevel="0" collapsed="false">
      <c r="A296" s="2" t="s">
        <v>7</v>
      </c>
      <c r="B296" s="2" t="n">
        <v>5</v>
      </c>
      <c r="C296" s="2" t="n">
        <v>0</v>
      </c>
      <c r="D296" s="2" t="n">
        <v>1</v>
      </c>
      <c r="E296" s="2" t="n">
        <v>0.0162</v>
      </c>
    </row>
    <row r="297" customFormat="false" ht="15" hidden="false" customHeight="false" outlineLevel="0" collapsed="false">
      <c r="A297" s="2" t="s">
        <v>7</v>
      </c>
      <c r="B297" s="2" t="n">
        <v>5</v>
      </c>
      <c r="C297" s="2" t="n">
        <v>0</v>
      </c>
      <c r="D297" s="2" t="n">
        <v>2</v>
      </c>
      <c r="E297" s="2" t="n">
        <v>0.0152</v>
      </c>
    </row>
    <row r="298" customFormat="false" ht="15" hidden="false" customHeight="false" outlineLevel="0" collapsed="false">
      <c r="A298" s="2" t="s">
        <v>7</v>
      </c>
      <c r="B298" s="2" t="n">
        <v>5</v>
      </c>
      <c r="C298" s="2" t="n">
        <v>0</v>
      </c>
      <c r="D298" s="2" t="n">
        <v>3</v>
      </c>
      <c r="E298" s="2" t="n">
        <v>0.0271</v>
      </c>
    </row>
    <row r="299" customFormat="false" ht="15" hidden="false" customHeight="false" outlineLevel="0" collapsed="false">
      <c r="A299" s="2" t="s">
        <v>7</v>
      </c>
      <c r="B299" s="2" t="n">
        <v>5</v>
      </c>
      <c r="C299" s="2" t="n">
        <v>0.05</v>
      </c>
      <c r="D299" s="2" t="n">
        <v>1</v>
      </c>
      <c r="E299" s="2" t="n">
        <v>0.0557</v>
      </c>
    </row>
    <row r="300" customFormat="false" ht="15" hidden="false" customHeight="false" outlineLevel="0" collapsed="false">
      <c r="A300" s="2" t="s">
        <v>7</v>
      </c>
      <c r="B300" s="2" t="n">
        <v>5</v>
      </c>
      <c r="C300" s="2" t="n">
        <v>0.05</v>
      </c>
      <c r="D300" s="2" t="n">
        <v>2</v>
      </c>
      <c r="E300" s="2" t="n">
        <v>0.0548</v>
      </c>
    </row>
    <row r="301" customFormat="false" ht="15" hidden="false" customHeight="false" outlineLevel="0" collapsed="false">
      <c r="A301" s="2" t="s">
        <v>7</v>
      </c>
      <c r="B301" s="2" t="n">
        <v>5</v>
      </c>
      <c r="C301" s="2" t="n">
        <v>0.05</v>
      </c>
      <c r="D301" s="2" t="n">
        <v>3</v>
      </c>
      <c r="E301" s="2" t="n">
        <v>0.0549</v>
      </c>
    </row>
    <row r="302" customFormat="false" ht="15" hidden="false" customHeight="false" outlineLevel="0" collapsed="false">
      <c r="A302" s="2" t="s">
        <v>7</v>
      </c>
      <c r="B302" s="2" t="n">
        <v>5</v>
      </c>
      <c r="C302" s="2" t="n">
        <v>0.1</v>
      </c>
      <c r="D302" s="2" t="n">
        <v>1</v>
      </c>
      <c r="E302" s="2" t="n">
        <v>0.0821</v>
      </c>
    </row>
    <row r="303" customFormat="false" ht="15" hidden="false" customHeight="false" outlineLevel="0" collapsed="false">
      <c r="A303" s="2" t="s">
        <v>7</v>
      </c>
      <c r="B303" s="2" t="n">
        <v>5</v>
      </c>
      <c r="C303" s="2" t="n">
        <v>0.1</v>
      </c>
      <c r="D303" s="2" t="n">
        <v>2</v>
      </c>
      <c r="E303" s="2" t="n">
        <v>0.0777</v>
      </c>
    </row>
    <row r="304" customFormat="false" ht="15" hidden="false" customHeight="false" outlineLevel="0" collapsed="false">
      <c r="A304" s="2" t="s">
        <v>7</v>
      </c>
      <c r="B304" s="2" t="n">
        <v>5</v>
      </c>
      <c r="C304" s="2" t="n">
        <v>0.1</v>
      </c>
      <c r="D304" s="2" t="n">
        <v>3</v>
      </c>
      <c r="E304" s="2" t="n">
        <v>0.0826</v>
      </c>
    </row>
    <row r="305" customFormat="false" ht="15" hidden="false" customHeight="false" outlineLevel="0" collapsed="false">
      <c r="A305" s="2" t="s">
        <v>7</v>
      </c>
      <c r="B305" s="2" t="n">
        <v>5</v>
      </c>
      <c r="C305" s="2" t="n">
        <v>0.25</v>
      </c>
      <c r="D305" s="2" t="n">
        <v>1</v>
      </c>
      <c r="E305" s="2" t="n">
        <v>0.1701</v>
      </c>
    </row>
    <row r="306" customFormat="false" ht="15" hidden="false" customHeight="false" outlineLevel="0" collapsed="false">
      <c r="A306" s="2" t="s">
        <v>7</v>
      </c>
      <c r="B306" s="2" t="n">
        <v>5</v>
      </c>
      <c r="C306" s="2" t="n">
        <v>0.25</v>
      </c>
      <c r="D306" s="2" t="n">
        <v>2</v>
      </c>
      <c r="E306" s="2" t="n">
        <v>0.1784</v>
      </c>
    </row>
    <row r="307" customFormat="false" ht="15" hidden="false" customHeight="false" outlineLevel="0" collapsed="false">
      <c r="A307" s="2" t="s">
        <v>7</v>
      </c>
      <c r="B307" s="2" t="n">
        <v>5</v>
      </c>
      <c r="C307" s="2" t="n">
        <v>0.25</v>
      </c>
      <c r="D307" s="2" t="n">
        <v>3</v>
      </c>
      <c r="E307" s="2" t="n">
        <v>0.1728</v>
      </c>
    </row>
    <row r="308" customFormat="false" ht="15" hidden="false" customHeight="false" outlineLevel="0" collapsed="false">
      <c r="A308" s="2" t="s">
        <v>7</v>
      </c>
      <c r="B308" s="2" t="n">
        <v>5</v>
      </c>
      <c r="C308" s="2" t="n">
        <v>0.5</v>
      </c>
      <c r="D308" s="2" t="n">
        <v>1</v>
      </c>
      <c r="E308" s="2" t="n">
        <v>0.3216</v>
      </c>
    </row>
    <row r="309" customFormat="false" ht="15" hidden="false" customHeight="false" outlineLevel="0" collapsed="false">
      <c r="A309" s="2" t="s">
        <v>7</v>
      </c>
      <c r="B309" s="2" t="n">
        <v>5</v>
      </c>
      <c r="C309" s="2" t="n">
        <v>0.5</v>
      </c>
      <c r="D309" s="2" t="n">
        <v>2</v>
      </c>
      <c r="E309" s="2" t="n">
        <v>0.3242</v>
      </c>
    </row>
    <row r="310" customFormat="false" ht="15" hidden="false" customHeight="false" outlineLevel="0" collapsed="false">
      <c r="A310" s="2" t="s">
        <v>7</v>
      </c>
      <c r="B310" s="2" t="n">
        <v>5</v>
      </c>
      <c r="C310" s="2" t="n">
        <v>0.5</v>
      </c>
      <c r="D310" s="2" t="n">
        <v>3</v>
      </c>
      <c r="E310" s="2" t="n">
        <v>0.3278</v>
      </c>
    </row>
    <row r="311" customFormat="false" ht="15" hidden="false" customHeight="false" outlineLevel="0" collapsed="false">
      <c r="A311" s="2" t="s">
        <v>7</v>
      </c>
      <c r="B311" s="2" t="n">
        <v>5</v>
      </c>
      <c r="C311" s="2" t="n">
        <v>1</v>
      </c>
      <c r="D311" s="2" t="n">
        <v>1</v>
      </c>
      <c r="E311" s="2" t="n">
        <v>0.6274</v>
      </c>
    </row>
    <row r="312" customFormat="false" ht="15" hidden="false" customHeight="false" outlineLevel="0" collapsed="false">
      <c r="A312" s="2" t="s">
        <v>7</v>
      </c>
      <c r="B312" s="2" t="n">
        <v>5</v>
      </c>
      <c r="C312" s="2" t="n">
        <v>1</v>
      </c>
      <c r="D312" s="2" t="n">
        <v>2</v>
      </c>
      <c r="E312" s="2" t="n">
        <v>0.6261</v>
      </c>
    </row>
    <row r="313" customFormat="false" ht="15" hidden="false" customHeight="false" outlineLevel="0" collapsed="false">
      <c r="A313" s="2" t="s">
        <v>7</v>
      </c>
      <c r="B313" s="2" t="n">
        <v>5</v>
      </c>
      <c r="C313" s="2" t="n">
        <v>1</v>
      </c>
      <c r="D313" s="2" t="n">
        <v>3</v>
      </c>
      <c r="E313" s="2" t="n">
        <v>0.6315</v>
      </c>
    </row>
    <row r="314" customFormat="false" ht="15" hidden="false" customHeight="false" outlineLevel="0" collapsed="false">
      <c r="A314" s="2" t="s">
        <v>7</v>
      </c>
      <c r="B314" s="2" t="n">
        <v>5</v>
      </c>
      <c r="C314" s="2" t="n">
        <v>2</v>
      </c>
      <c r="D314" s="2" t="n">
        <v>1</v>
      </c>
      <c r="E314" s="2" t="n">
        <v>1.2404</v>
      </c>
    </row>
    <row r="315" customFormat="false" ht="15" hidden="false" customHeight="false" outlineLevel="0" collapsed="false">
      <c r="A315" s="2" t="s">
        <v>7</v>
      </c>
      <c r="B315" s="2" t="n">
        <v>5</v>
      </c>
      <c r="C315" s="2" t="n">
        <v>2</v>
      </c>
      <c r="D315" s="2" t="n">
        <v>2</v>
      </c>
      <c r="E315" s="2" t="n">
        <v>1.2367</v>
      </c>
    </row>
    <row r="316" customFormat="false" ht="15" hidden="false" customHeight="false" outlineLevel="0" collapsed="false">
      <c r="A316" s="2" t="s">
        <v>7</v>
      </c>
      <c r="B316" s="2" t="n">
        <v>5</v>
      </c>
      <c r="C316" s="2" t="n">
        <v>2</v>
      </c>
      <c r="D316" s="2" t="n">
        <v>3</v>
      </c>
      <c r="E316" s="2" t="n">
        <v>1.2368</v>
      </c>
    </row>
    <row r="317" customFormat="false" ht="15" hidden="false" customHeight="false" outlineLevel="0" collapsed="false">
      <c r="A317" s="2" t="s">
        <v>8</v>
      </c>
      <c r="B317" s="2" t="n">
        <v>1</v>
      </c>
      <c r="C317" s="2" t="n">
        <v>0</v>
      </c>
      <c r="D317" s="2" t="n">
        <v>1</v>
      </c>
      <c r="E317" s="2" t="n">
        <v>0</v>
      </c>
    </row>
    <row r="318" customFormat="false" ht="15" hidden="false" customHeight="false" outlineLevel="0" collapsed="false">
      <c r="A318" s="2" t="s">
        <v>8</v>
      </c>
      <c r="B318" s="2" t="n">
        <v>1</v>
      </c>
      <c r="C318" s="2" t="n">
        <v>0</v>
      </c>
      <c r="D318" s="2" t="n">
        <v>2</v>
      </c>
      <c r="E318" s="2" t="n">
        <v>0</v>
      </c>
    </row>
    <row r="319" customFormat="false" ht="15" hidden="false" customHeight="false" outlineLevel="0" collapsed="false">
      <c r="A319" s="2" t="s">
        <v>8</v>
      </c>
      <c r="B319" s="2" t="n">
        <v>1</v>
      </c>
      <c r="C319" s="2" t="n">
        <v>0</v>
      </c>
      <c r="D319" s="2" t="n">
        <v>3</v>
      </c>
      <c r="E319" s="2" t="n">
        <v>0.0037</v>
      </c>
    </row>
    <row r="320" customFormat="false" ht="15" hidden="false" customHeight="false" outlineLevel="0" collapsed="false">
      <c r="A320" s="2" t="s">
        <v>8</v>
      </c>
      <c r="B320" s="2" t="n">
        <v>1</v>
      </c>
      <c r="C320" s="2" t="n">
        <v>0.05</v>
      </c>
      <c r="D320" s="2" t="n">
        <v>1</v>
      </c>
      <c r="E320" s="2" t="n">
        <v>0.0802</v>
      </c>
    </row>
    <row r="321" customFormat="false" ht="15" hidden="false" customHeight="false" outlineLevel="0" collapsed="false">
      <c r="A321" s="2" t="s">
        <v>8</v>
      </c>
      <c r="B321" s="2" t="n">
        <v>1</v>
      </c>
      <c r="C321" s="2" t="n">
        <v>0.05</v>
      </c>
      <c r="D321" s="2" t="n">
        <v>2</v>
      </c>
      <c r="E321" s="2" t="n">
        <v>0.0906</v>
      </c>
    </row>
    <row r="322" customFormat="false" ht="15" hidden="false" customHeight="false" outlineLevel="0" collapsed="false">
      <c r="A322" s="2" t="s">
        <v>8</v>
      </c>
      <c r="B322" s="2" t="n">
        <v>1</v>
      </c>
      <c r="C322" s="2" t="n">
        <v>0.05</v>
      </c>
      <c r="D322" s="2" t="n">
        <v>3</v>
      </c>
      <c r="E322" s="2" t="n">
        <v>0.0851</v>
      </c>
    </row>
    <row r="323" customFormat="false" ht="15" hidden="false" customHeight="false" outlineLevel="0" collapsed="false">
      <c r="A323" s="2" t="s">
        <v>8</v>
      </c>
      <c r="B323" s="2" t="n">
        <v>1</v>
      </c>
      <c r="C323" s="2" t="n">
        <v>0.1</v>
      </c>
      <c r="D323" s="2" t="n">
        <v>1</v>
      </c>
      <c r="E323" s="2" t="n">
        <v>0.1476</v>
      </c>
    </row>
    <row r="324" customFormat="false" ht="15" hidden="false" customHeight="false" outlineLevel="0" collapsed="false">
      <c r="A324" s="2" t="s">
        <v>8</v>
      </c>
      <c r="B324" s="2" t="n">
        <v>1</v>
      </c>
      <c r="C324" s="2" t="n">
        <v>0.1</v>
      </c>
      <c r="D324" s="2" t="n">
        <v>2</v>
      </c>
      <c r="E324" s="2" t="n">
        <v>0.1489</v>
      </c>
    </row>
    <row r="325" customFormat="false" ht="15" hidden="false" customHeight="false" outlineLevel="0" collapsed="false">
      <c r="A325" s="2" t="s">
        <v>8</v>
      </c>
      <c r="B325" s="2" t="n">
        <v>1</v>
      </c>
      <c r="C325" s="2" t="n">
        <v>0.1</v>
      </c>
      <c r="D325" s="2" t="n">
        <v>3</v>
      </c>
      <c r="E325" s="2" t="n">
        <v>0.14</v>
      </c>
    </row>
    <row r="326" customFormat="false" ht="15" hidden="false" customHeight="false" outlineLevel="0" collapsed="false">
      <c r="A326" s="2" t="s">
        <v>8</v>
      </c>
      <c r="B326" s="2" t="n">
        <v>1</v>
      </c>
      <c r="C326" s="2" t="n">
        <v>0.25</v>
      </c>
      <c r="D326" s="2" t="n">
        <v>1</v>
      </c>
      <c r="E326" s="2" t="n">
        <v>0.364</v>
      </c>
    </row>
    <row r="327" customFormat="false" ht="15" hidden="false" customHeight="false" outlineLevel="0" collapsed="false">
      <c r="A327" s="2" t="s">
        <v>8</v>
      </c>
      <c r="B327" s="2" t="n">
        <v>1</v>
      </c>
      <c r="C327" s="2" t="n">
        <v>0.25</v>
      </c>
      <c r="D327" s="2" t="n">
        <v>2</v>
      </c>
      <c r="E327" s="2" t="n">
        <v>0.3616</v>
      </c>
    </row>
    <row r="328" customFormat="false" ht="15" hidden="false" customHeight="false" outlineLevel="0" collapsed="false">
      <c r="A328" s="2" t="s">
        <v>8</v>
      </c>
      <c r="B328" s="2" t="n">
        <v>1</v>
      </c>
      <c r="C328" s="2" t="n">
        <v>0.25</v>
      </c>
      <c r="D328" s="2" t="n">
        <v>3</v>
      </c>
      <c r="E328" s="2" t="n">
        <v>0.3671</v>
      </c>
    </row>
    <row r="329" customFormat="false" ht="15" hidden="false" customHeight="false" outlineLevel="0" collapsed="false">
      <c r="A329" s="2" t="s">
        <v>8</v>
      </c>
      <c r="B329" s="2" t="n">
        <v>1</v>
      </c>
      <c r="C329" s="2" t="n">
        <v>0.5</v>
      </c>
      <c r="D329" s="2" t="n">
        <v>1</v>
      </c>
      <c r="E329" s="2" t="n">
        <v>0.7152</v>
      </c>
    </row>
    <row r="330" customFormat="false" ht="15" hidden="false" customHeight="false" outlineLevel="0" collapsed="false">
      <c r="A330" s="2" t="s">
        <v>8</v>
      </c>
      <c r="B330" s="2" t="n">
        <v>1</v>
      </c>
      <c r="C330" s="2" t="n">
        <v>0.5</v>
      </c>
      <c r="D330" s="2" t="n">
        <v>2</v>
      </c>
      <c r="E330" s="2" t="n">
        <v>0.7273</v>
      </c>
    </row>
    <row r="331" customFormat="false" ht="15" hidden="false" customHeight="false" outlineLevel="0" collapsed="false">
      <c r="A331" s="2" t="s">
        <v>8</v>
      </c>
      <c r="B331" s="2" t="n">
        <v>1</v>
      </c>
      <c r="C331" s="2" t="n">
        <v>0.5</v>
      </c>
      <c r="D331" s="2" t="n">
        <v>3</v>
      </c>
      <c r="E331" s="2" t="n">
        <v>0.7364</v>
      </c>
    </row>
    <row r="332" customFormat="false" ht="15" hidden="false" customHeight="false" outlineLevel="0" collapsed="false">
      <c r="A332" s="2" t="s">
        <v>8</v>
      </c>
      <c r="B332" s="2" t="n">
        <v>1</v>
      </c>
      <c r="C332" s="2" t="n">
        <v>1</v>
      </c>
      <c r="D332" s="2" t="n">
        <v>1</v>
      </c>
      <c r="E332" s="2" t="n">
        <v>1.4387</v>
      </c>
    </row>
    <row r="333" customFormat="false" ht="15" hidden="false" customHeight="false" outlineLevel="0" collapsed="false">
      <c r="A333" s="2" t="s">
        <v>8</v>
      </c>
      <c r="B333" s="2" t="n">
        <v>1</v>
      </c>
      <c r="C333" s="2" t="n">
        <v>1</v>
      </c>
      <c r="D333" s="2" t="n">
        <v>2</v>
      </c>
      <c r="E333" s="2" t="n">
        <v>1.4433</v>
      </c>
    </row>
    <row r="334" customFormat="false" ht="15" hidden="false" customHeight="false" outlineLevel="0" collapsed="false">
      <c r="A334" s="2" t="s">
        <v>8</v>
      </c>
      <c r="B334" s="2" t="n">
        <v>1</v>
      </c>
      <c r="C334" s="2" t="n">
        <v>1</v>
      </c>
      <c r="D334" s="2" t="n">
        <v>3</v>
      </c>
      <c r="E334" s="2" t="n">
        <v>1.4458</v>
      </c>
    </row>
    <row r="335" customFormat="false" ht="15" hidden="false" customHeight="false" outlineLevel="0" collapsed="false">
      <c r="A335" s="2" t="s">
        <v>8</v>
      </c>
      <c r="B335" s="2" t="n">
        <v>1</v>
      </c>
      <c r="C335" s="2" t="n">
        <v>2</v>
      </c>
      <c r="D335" s="2" t="n">
        <v>1</v>
      </c>
      <c r="E335" s="2" t="n">
        <v>2.87</v>
      </c>
    </row>
    <row r="336" customFormat="false" ht="15" hidden="false" customHeight="false" outlineLevel="0" collapsed="false">
      <c r="A336" s="2" t="s">
        <v>8</v>
      </c>
      <c r="B336" s="2" t="n">
        <v>1</v>
      </c>
      <c r="C336" s="2" t="n">
        <v>2</v>
      </c>
      <c r="D336" s="2" t="n">
        <v>2</v>
      </c>
      <c r="E336" s="2" t="n">
        <v>2.8756</v>
      </c>
    </row>
    <row r="337" customFormat="false" ht="15" hidden="false" customHeight="false" outlineLevel="0" collapsed="false">
      <c r="A337" s="2" t="s">
        <v>8</v>
      </c>
      <c r="B337" s="2" t="n">
        <v>1</v>
      </c>
      <c r="C337" s="2" t="n">
        <v>2</v>
      </c>
      <c r="D337" s="2" t="n">
        <v>3</v>
      </c>
      <c r="E337" s="2" t="n">
        <v>2.8737</v>
      </c>
    </row>
    <row r="338" customFormat="false" ht="15" hidden="false" customHeight="false" outlineLevel="0" collapsed="false">
      <c r="A338" s="2" t="s">
        <v>8</v>
      </c>
      <c r="B338" s="2" t="n">
        <v>2</v>
      </c>
      <c r="C338" s="2" t="n">
        <v>0</v>
      </c>
      <c r="D338" s="2" t="n">
        <v>1</v>
      </c>
      <c r="E338" s="2" t="n">
        <v>0.0079</v>
      </c>
    </row>
    <row r="339" customFormat="false" ht="15" hidden="false" customHeight="false" outlineLevel="0" collapsed="false">
      <c r="A339" s="2" t="s">
        <v>8</v>
      </c>
      <c r="B339" s="2" t="n">
        <v>2</v>
      </c>
      <c r="C339" s="2" t="n">
        <v>0</v>
      </c>
      <c r="D339" s="2" t="n">
        <v>2</v>
      </c>
      <c r="E339" s="2" t="n">
        <v>0.0122</v>
      </c>
    </row>
    <row r="340" customFormat="false" ht="15" hidden="false" customHeight="false" outlineLevel="0" collapsed="false">
      <c r="A340" s="2" t="s">
        <v>8</v>
      </c>
      <c r="B340" s="2" t="n">
        <v>2</v>
      </c>
      <c r="C340" s="2" t="n">
        <v>0</v>
      </c>
      <c r="D340" s="2" t="n">
        <v>3</v>
      </c>
      <c r="E340" s="2" t="n">
        <v>0.0207</v>
      </c>
    </row>
    <row r="341" customFormat="false" ht="15" hidden="false" customHeight="false" outlineLevel="0" collapsed="false">
      <c r="A341" s="2" t="s">
        <v>8</v>
      </c>
      <c r="B341" s="2" t="n">
        <v>2</v>
      </c>
      <c r="C341" s="2" t="n">
        <v>0.05</v>
      </c>
      <c r="D341" s="2" t="n">
        <v>1</v>
      </c>
      <c r="E341" s="2" t="n">
        <v>0.0879</v>
      </c>
    </row>
    <row r="342" customFormat="false" ht="15" hidden="false" customHeight="false" outlineLevel="0" collapsed="false">
      <c r="A342" s="2" t="s">
        <v>8</v>
      </c>
      <c r="B342" s="2" t="n">
        <v>2</v>
      </c>
      <c r="C342" s="2" t="n">
        <v>0.05</v>
      </c>
      <c r="D342" s="2" t="n">
        <v>2</v>
      </c>
      <c r="E342" s="2" t="n">
        <v>0.0986</v>
      </c>
    </row>
    <row r="343" customFormat="false" ht="15" hidden="false" customHeight="false" outlineLevel="0" collapsed="false">
      <c r="A343" s="2" t="s">
        <v>8</v>
      </c>
      <c r="B343" s="2" t="n">
        <v>2</v>
      </c>
      <c r="C343" s="2" t="n">
        <v>0.05</v>
      </c>
      <c r="D343" s="2" t="n">
        <v>3</v>
      </c>
      <c r="E343" s="2" t="n">
        <v>0.0724</v>
      </c>
    </row>
    <row r="344" customFormat="false" ht="15" hidden="false" customHeight="false" outlineLevel="0" collapsed="false">
      <c r="A344" s="2" t="s">
        <v>8</v>
      </c>
      <c r="B344" s="2" t="n">
        <v>2</v>
      </c>
      <c r="C344" s="2" t="n">
        <v>0.1</v>
      </c>
      <c r="D344" s="2" t="n">
        <v>1</v>
      </c>
      <c r="E344" s="2" t="n">
        <v>0.1587</v>
      </c>
    </row>
    <row r="345" customFormat="false" ht="15" hidden="false" customHeight="false" outlineLevel="0" collapsed="false">
      <c r="A345" s="2" t="s">
        <v>8</v>
      </c>
      <c r="B345" s="2" t="n">
        <v>2</v>
      </c>
      <c r="C345" s="2" t="n">
        <v>0.1</v>
      </c>
      <c r="D345" s="2" t="n">
        <v>2</v>
      </c>
      <c r="E345" s="2" t="n">
        <v>0.1525</v>
      </c>
    </row>
    <row r="346" customFormat="false" ht="15" hidden="false" customHeight="false" outlineLevel="0" collapsed="false">
      <c r="A346" s="2" t="s">
        <v>8</v>
      </c>
      <c r="B346" s="2" t="n">
        <v>2</v>
      </c>
      <c r="C346" s="2" t="n">
        <v>0.1</v>
      </c>
      <c r="D346" s="2" t="n">
        <v>3</v>
      </c>
      <c r="E346" s="2" t="n">
        <v>0.1706</v>
      </c>
    </row>
    <row r="347" customFormat="false" ht="15" hidden="false" customHeight="false" outlineLevel="0" collapsed="false">
      <c r="A347" s="2" t="s">
        <v>8</v>
      </c>
      <c r="B347" s="2" t="n">
        <v>2</v>
      </c>
      <c r="C347" s="2" t="n">
        <v>0.25</v>
      </c>
      <c r="D347" s="2" t="n">
        <v>1</v>
      </c>
      <c r="E347" s="2" t="n">
        <v>0.3583</v>
      </c>
    </row>
    <row r="348" customFormat="false" ht="15" hidden="false" customHeight="false" outlineLevel="0" collapsed="false">
      <c r="A348" s="2" t="s">
        <v>8</v>
      </c>
      <c r="B348" s="2" t="n">
        <v>2</v>
      </c>
      <c r="C348" s="2" t="n">
        <v>0.25</v>
      </c>
      <c r="D348" s="2" t="n">
        <v>2</v>
      </c>
      <c r="E348" s="2" t="n">
        <v>0.358</v>
      </c>
    </row>
    <row r="349" customFormat="false" ht="15" hidden="false" customHeight="false" outlineLevel="0" collapsed="false">
      <c r="A349" s="2" t="s">
        <v>8</v>
      </c>
      <c r="B349" s="2" t="n">
        <v>2</v>
      </c>
      <c r="C349" s="2" t="n">
        <v>0.25</v>
      </c>
      <c r="D349" s="2" t="n">
        <v>3</v>
      </c>
      <c r="E349" s="2" t="n">
        <v>0.3602</v>
      </c>
    </row>
    <row r="350" customFormat="false" ht="15" hidden="false" customHeight="false" outlineLevel="0" collapsed="false">
      <c r="A350" s="2" t="s">
        <v>8</v>
      </c>
      <c r="B350" s="2" t="n">
        <v>2</v>
      </c>
      <c r="C350" s="2" t="n">
        <v>0.5</v>
      </c>
      <c r="D350" s="2" t="n">
        <v>1</v>
      </c>
      <c r="E350" s="2" t="n">
        <v>0.7044</v>
      </c>
    </row>
    <row r="351" customFormat="false" ht="15" hidden="false" customHeight="false" outlineLevel="0" collapsed="false">
      <c r="A351" s="2" t="s">
        <v>8</v>
      </c>
      <c r="B351" s="2" t="n">
        <v>2</v>
      </c>
      <c r="C351" s="2" t="n">
        <v>0.5</v>
      </c>
      <c r="D351" s="2" t="n">
        <v>2</v>
      </c>
      <c r="E351" s="2" t="n">
        <v>0.7188</v>
      </c>
    </row>
    <row r="352" customFormat="false" ht="15" hidden="false" customHeight="false" outlineLevel="0" collapsed="false">
      <c r="A352" s="2" t="s">
        <v>8</v>
      </c>
      <c r="B352" s="2" t="n">
        <v>2</v>
      </c>
      <c r="C352" s="2" t="n">
        <v>0.5</v>
      </c>
      <c r="D352" s="2" t="n">
        <v>3</v>
      </c>
      <c r="E352" s="2" t="n">
        <v>0.7167</v>
      </c>
    </row>
    <row r="353" customFormat="false" ht="15" hidden="false" customHeight="false" outlineLevel="0" collapsed="false">
      <c r="A353" s="2" t="s">
        <v>8</v>
      </c>
      <c r="B353" s="2" t="n">
        <v>2</v>
      </c>
      <c r="C353" s="2" t="n">
        <v>1</v>
      </c>
      <c r="D353" s="2" t="n">
        <v>1</v>
      </c>
      <c r="E353" s="2" t="n">
        <v>1.4407</v>
      </c>
    </row>
    <row r="354" customFormat="false" ht="15" hidden="false" customHeight="false" outlineLevel="0" collapsed="false">
      <c r="A354" s="2" t="s">
        <v>8</v>
      </c>
      <c r="B354" s="2" t="n">
        <v>2</v>
      </c>
      <c r="C354" s="2" t="n">
        <v>1</v>
      </c>
      <c r="D354" s="2" t="n">
        <v>2</v>
      </c>
      <c r="E354" s="2" t="n">
        <v>1.4424</v>
      </c>
    </row>
    <row r="355" customFormat="false" ht="15" hidden="false" customHeight="false" outlineLevel="0" collapsed="false">
      <c r="A355" s="2" t="s">
        <v>8</v>
      </c>
      <c r="B355" s="2" t="n">
        <v>2</v>
      </c>
      <c r="C355" s="2" t="n">
        <v>1</v>
      </c>
      <c r="D355" s="2" t="n">
        <v>3</v>
      </c>
      <c r="E355" s="2" t="n">
        <v>1.4562</v>
      </c>
    </row>
    <row r="356" customFormat="false" ht="15" hidden="false" customHeight="false" outlineLevel="0" collapsed="false">
      <c r="A356" s="2" t="s">
        <v>8</v>
      </c>
      <c r="B356" s="2" t="n">
        <v>2</v>
      </c>
      <c r="C356" s="2" t="n">
        <v>2</v>
      </c>
      <c r="D356" s="2" t="n">
        <v>1</v>
      </c>
      <c r="E356" s="2" t="n">
        <v>2.8796</v>
      </c>
    </row>
    <row r="357" customFormat="false" ht="15" hidden="false" customHeight="false" outlineLevel="0" collapsed="false">
      <c r="A357" s="2" t="s">
        <v>8</v>
      </c>
      <c r="B357" s="2" t="n">
        <v>2</v>
      </c>
      <c r="C357" s="2" t="n">
        <v>2</v>
      </c>
      <c r="D357" s="2" t="n">
        <v>2</v>
      </c>
      <c r="E357" s="2" t="n">
        <v>2.8658</v>
      </c>
    </row>
    <row r="358" customFormat="false" ht="15" hidden="false" customHeight="false" outlineLevel="0" collapsed="false">
      <c r="A358" s="2" t="s">
        <v>8</v>
      </c>
      <c r="B358" s="2" t="n">
        <v>2</v>
      </c>
      <c r="C358" s="2" t="n">
        <v>2</v>
      </c>
      <c r="D358" s="2" t="n">
        <v>3</v>
      </c>
      <c r="E358" s="2" t="n">
        <v>2.8629</v>
      </c>
    </row>
    <row r="359" customFormat="false" ht="15" hidden="false" customHeight="false" outlineLevel="0" collapsed="false">
      <c r="A359" s="2" t="s">
        <v>8</v>
      </c>
      <c r="B359" s="2" t="n">
        <v>3</v>
      </c>
      <c r="C359" s="2" t="n">
        <v>0</v>
      </c>
      <c r="D359" s="2" t="n">
        <v>1</v>
      </c>
      <c r="E359" s="2" t="n">
        <v>0.0225</v>
      </c>
    </row>
    <row r="360" customFormat="false" ht="15" hidden="false" customHeight="false" outlineLevel="0" collapsed="false">
      <c r="A360" s="2" t="s">
        <v>8</v>
      </c>
      <c r="B360" s="2" t="n">
        <v>3</v>
      </c>
      <c r="C360" s="2" t="n">
        <v>0</v>
      </c>
      <c r="D360" s="2" t="n">
        <v>2</v>
      </c>
      <c r="E360" s="2" t="n">
        <v>0.0167</v>
      </c>
    </row>
    <row r="361" customFormat="false" ht="15" hidden="false" customHeight="false" outlineLevel="0" collapsed="false">
      <c r="A361" s="2" t="s">
        <v>8</v>
      </c>
      <c r="B361" s="2" t="n">
        <v>3</v>
      </c>
      <c r="C361" s="2" t="n">
        <v>0</v>
      </c>
      <c r="D361" s="2" t="n">
        <v>3</v>
      </c>
      <c r="E361" s="2" t="n">
        <v>0.0018</v>
      </c>
    </row>
    <row r="362" customFormat="false" ht="15" hidden="false" customHeight="false" outlineLevel="0" collapsed="false">
      <c r="A362" s="2" t="s">
        <v>8</v>
      </c>
      <c r="B362" s="2" t="n">
        <v>3</v>
      </c>
      <c r="C362" s="2" t="n">
        <v>0.05</v>
      </c>
      <c r="D362" s="2" t="n">
        <v>1</v>
      </c>
      <c r="E362" s="2" t="n">
        <v>0.0625</v>
      </c>
    </row>
    <row r="363" customFormat="false" ht="15" hidden="false" customHeight="false" outlineLevel="0" collapsed="false">
      <c r="A363" s="2" t="s">
        <v>8</v>
      </c>
      <c r="B363" s="2" t="n">
        <v>3</v>
      </c>
      <c r="C363" s="2" t="n">
        <v>0.05</v>
      </c>
      <c r="D363" s="2" t="n">
        <v>2</v>
      </c>
      <c r="E363" s="2" t="n">
        <v>0.0901</v>
      </c>
    </row>
    <row r="364" customFormat="false" ht="15" hidden="false" customHeight="false" outlineLevel="0" collapsed="false">
      <c r="A364" s="2" t="s">
        <v>8</v>
      </c>
      <c r="B364" s="2" t="n">
        <v>3</v>
      </c>
      <c r="C364" s="2" t="n">
        <v>0.05</v>
      </c>
      <c r="D364" s="2" t="n">
        <v>3</v>
      </c>
      <c r="E364" s="2" t="n">
        <v>0.0769</v>
      </c>
    </row>
    <row r="365" customFormat="false" ht="15" hidden="false" customHeight="false" outlineLevel="0" collapsed="false">
      <c r="A365" s="2" t="s">
        <v>8</v>
      </c>
      <c r="B365" s="2" t="n">
        <v>3</v>
      </c>
      <c r="C365" s="2" t="n">
        <v>0.1</v>
      </c>
      <c r="D365" s="2" t="n">
        <v>1</v>
      </c>
      <c r="E365" s="2" t="n">
        <v>0.161</v>
      </c>
    </row>
    <row r="366" customFormat="false" ht="15" hidden="false" customHeight="false" outlineLevel="0" collapsed="false">
      <c r="A366" s="2" t="s">
        <v>8</v>
      </c>
      <c r="B366" s="2" t="n">
        <v>3</v>
      </c>
      <c r="C366" s="2" t="n">
        <v>0.1</v>
      </c>
      <c r="D366" s="2" t="n">
        <v>2</v>
      </c>
      <c r="E366" s="2" t="n">
        <v>0.1355</v>
      </c>
    </row>
    <row r="367" customFormat="false" ht="15" hidden="false" customHeight="false" outlineLevel="0" collapsed="false">
      <c r="A367" s="2" t="s">
        <v>8</v>
      </c>
      <c r="B367" s="2" t="n">
        <v>3</v>
      </c>
      <c r="C367" s="2" t="n">
        <v>0.1</v>
      </c>
      <c r="D367" s="2" t="n">
        <v>3</v>
      </c>
      <c r="E367" s="2" t="n">
        <v>0.1445</v>
      </c>
    </row>
    <row r="368" customFormat="false" ht="15" hidden="false" customHeight="false" outlineLevel="0" collapsed="false">
      <c r="A368" s="2" t="s">
        <v>8</v>
      </c>
      <c r="B368" s="2" t="n">
        <v>3</v>
      </c>
      <c r="C368" s="2" t="n">
        <v>0.25</v>
      </c>
      <c r="D368" s="2" t="n">
        <v>1</v>
      </c>
      <c r="E368" s="2" t="n">
        <v>0.3657</v>
      </c>
    </row>
    <row r="369" customFormat="false" ht="15" hidden="false" customHeight="false" outlineLevel="0" collapsed="false">
      <c r="A369" s="2" t="s">
        <v>8</v>
      </c>
      <c r="B369" s="2" t="n">
        <v>3</v>
      </c>
      <c r="C369" s="2" t="n">
        <v>0.25</v>
      </c>
      <c r="D369" s="2" t="n">
        <v>2</v>
      </c>
      <c r="E369" s="2" t="n">
        <v>0.3661</v>
      </c>
    </row>
    <row r="370" customFormat="false" ht="15" hidden="false" customHeight="false" outlineLevel="0" collapsed="false">
      <c r="A370" s="2" t="s">
        <v>8</v>
      </c>
      <c r="B370" s="2" t="n">
        <v>3</v>
      </c>
      <c r="C370" s="2" t="n">
        <v>0.25</v>
      </c>
      <c r="D370" s="2" t="n">
        <v>3</v>
      </c>
      <c r="E370" s="2" t="n">
        <v>0.3616</v>
      </c>
    </row>
    <row r="371" customFormat="false" ht="15" hidden="false" customHeight="false" outlineLevel="0" collapsed="false">
      <c r="A371" s="2" t="s">
        <v>8</v>
      </c>
      <c r="B371" s="2" t="n">
        <v>3</v>
      </c>
      <c r="C371" s="2" t="n">
        <v>0.5</v>
      </c>
      <c r="D371" s="2" t="n">
        <v>1</v>
      </c>
      <c r="E371" s="2" t="n">
        <v>0.7309</v>
      </c>
    </row>
    <row r="372" customFormat="false" ht="15" hidden="false" customHeight="false" outlineLevel="0" collapsed="false">
      <c r="A372" s="2" t="s">
        <v>8</v>
      </c>
      <c r="B372" s="2" t="n">
        <v>3</v>
      </c>
      <c r="C372" s="2" t="n">
        <v>0.5</v>
      </c>
      <c r="D372" s="2" t="n">
        <v>2</v>
      </c>
      <c r="E372" s="2" t="n">
        <v>0.7157</v>
      </c>
    </row>
    <row r="373" customFormat="false" ht="15" hidden="false" customHeight="false" outlineLevel="0" collapsed="false">
      <c r="A373" s="2" t="s">
        <v>8</v>
      </c>
      <c r="B373" s="2" t="n">
        <v>3</v>
      </c>
      <c r="C373" s="2" t="n">
        <v>0.5</v>
      </c>
      <c r="D373" s="2" t="n">
        <v>3</v>
      </c>
      <c r="E373" s="2" t="n">
        <v>0.724</v>
      </c>
    </row>
    <row r="374" customFormat="false" ht="15" hidden="false" customHeight="false" outlineLevel="0" collapsed="false">
      <c r="A374" s="2" t="s">
        <v>8</v>
      </c>
      <c r="B374" s="2" t="n">
        <v>3</v>
      </c>
      <c r="C374" s="2" t="n">
        <v>1</v>
      </c>
      <c r="D374" s="2" t="n">
        <v>1</v>
      </c>
      <c r="E374" s="2" t="n">
        <v>1.4456</v>
      </c>
    </row>
    <row r="375" customFormat="false" ht="15" hidden="false" customHeight="false" outlineLevel="0" collapsed="false">
      <c r="A375" s="2" t="s">
        <v>8</v>
      </c>
      <c r="B375" s="2" t="n">
        <v>3</v>
      </c>
      <c r="C375" s="2" t="n">
        <v>1</v>
      </c>
      <c r="D375" s="2" t="n">
        <v>2</v>
      </c>
      <c r="E375" s="2" t="n">
        <v>1.4491</v>
      </c>
    </row>
    <row r="376" customFormat="false" ht="15" hidden="false" customHeight="false" outlineLevel="0" collapsed="false">
      <c r="A376" s="2" t="s">
        <v>8</v>
      </c>
      <c r="B376" s="2" t="n">
        <v>3</v>
      </c>
      <c r="C376" s="2" t="n">
        <v>1</v>
      </c>
      <c r="D376" s="2" t="n">
        <v>3</v>
      </c>
      <c r="E376" s="2" t="n">
        <v>1.4509</v>
      </c>
    </row>
    <row r="377" customFormat="false" ht="15" hidden="false" customHeight="false" outlineLevel="0" collapsed="false">
      <c r="A377" s="2" t="s">
        <v>8</v>
      </c>
      <c r="B377" s="2" t="n">
        <v>3</v>
      </c>
      <c r="C377" s="2" t="n">
        <v>2</v>
      </c>
      <c r="D377" s="2" t="n">
        <v>1</v>
      </c>
      <c r="E377" s="2" t="n">
        <v>2.8728</v>
      </c>
    </row>
    <row r="378" customFormat="false" ht="15" hidden="false" customHeight="false" outlineLevel="0" collapsed="false">
      <c r="A378" s="2" t="s">
        <v>8</v>
      </c>
      <c r="B378" s="2" t="n">
        <v>3</v>
      </c>
      <c r="C378" s="2" t="n">
        <v>2</v>
      </c>
      <c r="D378" s="2" t="n">
        <v>2</v>
      </c>
      <c r="E378" s="2" t="n">
        <v>2.8691</v>
      </c>
    </row>
    <row r="379" customFormat="false" ht="15" hidden="false" customHeight="false" outlineLevel="0" collapsed="false">
      <c r="A379" s="2" t="s">
        <v>8</v>
      </c>
      <c r="B379" s="2" t="n">
        <v>3</v>
      </c>
      <c r="C379" s="2" t="n">
        <v>2</v>
      </c>
      <c r="D379" s="2" t="n">
        <v>3</v>
      </c>
      <c r="E379" s="2" t="n">
        <v>2.8944</v>
      </c>
    </row>
    <row r="380" customFormat="false" ht="15" hidden="false" customHeight="false" outlineLevel="0" collapsed="false">
      <c r="A380" s="2" t="s">
        <v>8</v>
      </c>
      <c r="B380" s="2" t="n">
        <v>4</v>
      </c>
      <c r="C380" s="2" t="n">
        <v>0</v>
      </c>
      <c r="D380" s="2" t="n">
        <v>1</v>
      </c>
      <c r="E380" s="2" t="n">
        <v>0.0217</v>
      </c>
    </row>
    <row r="381" customFormat="false" ht="15" hidden="false" customHeight="false" outlineLevel="0" collapsed="false">
      <c r="A381" s="2" t="s">
        <v>8</v>
      </c>
      <c r="B381" s="2" t="n">
        <v>4</v>
      </c>
      <c r="C381" s="2" t="n">
        <v>0</v>
      </c>
      <c r="D381" s="2" t="n">
        <v>2</v>
      </c>
      <c r="E381" s="2" t="n">
        <v>0.0088</v>
      </c>
    </row>
    <row r="382" customFormat="false" ht="15" hidden="false" customHeight="false" outlineLevel="0" collapsed="false">
      <c r="A382" s="2" t="s">
        <v>8</v>
      </c>
      <c r="B382" s="2" t="n">
        <v>4</v>
      </c>
      <c r="C382" s="2" t="n">
        <v>0</v>
      </c>
      <c r="D382" s="2" t="n">
        <v>3</v>
      </c>
      <c r="E382" s="2" t="n">
        <v>0.0184</v>
      </c>
    </row>
    <row r="383" customFormat="false" ht="15" hidden="false" customHeight="false" outlineLevel="0" collapsed="false">
      <c r="A383" s="2" t="s">
        <v>8</v>
      </c>
      <c r="B383" s="2" t="n">
        <v>4</v>
      </c>
      <c r="C383" s="2" t="n">
        <v>0.05</v>
      </c>
      <c r="D383" s="2" t="n">
        <v>1</v>
      </c>
      <c r="E383" s="2" t="n">
        <v>0.0801</v>
      </c>
    </row>
    <row r="384" customFormat="false" ht="15" hidden="false" customHeight="false" outlineLevel="0" collapsed="false">
      <c r="A384" s="2" t="s">
        <v>8</v>
      </c>
      <c r="B384" s="2" t="n">
        <v>4</v>
      </c>
      <c r="C384" s="2" t="n">
        <v>0.05</v>
      </c>
      <c r="D384" s="2" t="n">
        <v>2</v>
      </c>
      <c r="E384" s="2" t="n">
        <v>0.0981</v>
      </c>
    </row>
    <row r="385" customFormat="false" ht="15" hidden="false" customHeight="false" outlineLevel="0" collapsed="false">
      <c r="A385" s="2" t="s">
        <v>8</v>
      </c>
      <c r="B385" s="2" t="n">
        <v>4</v>
      </c>
      <c r="C385" s="2" t="n">
        <v>0.05</v>
      </c>
      <c r="D385" s="2" t="n">
        <v>3</v>
      </c>
      <c r="E385" s="2" t="n">
        <v>0.0953</v>
      </c>
    </row>
    <row r="386" customFormat="false" ht="15" hidden="false" customHeight="false" outlineLevel="0" collapsed="false">
      <c r="A386" s="2" t="s">
        <v>8</v>
      </c>
      <c r="B386" s="2" t="n">
        <v>4</v>
      </c>
      <c r="C386" s="2" t="n">
        <v>0.1</v>
      </c>
      <c r="D386" s="2" t="n">
        <v>1</v>
      </c>
      <c r="E386" s="2" t="n">
        <v>0.1491</v>
      </c>
    </row>
    <row r="387" customFormat="false" ht="15" hidden="false" customHeight="false" outlineLevel="0" collapsed="false">
      <c r="A387" s="2" t="s">
        <v>8</v>
      </c>
      <c r="B387" s="2" t="n">
        <v>4</v>
      </c>
      <c r="C387" s="2" t="n">
        <v>0.1</v>
      </c>
      <c r="D387" s="2" t="n">
        <v>2</v>
      </c>
      <c r="E387" s="2" t="n">
        <v>0.1601</v>
      </c>
    </row>
    <row r="388" customFormat="false" ht="15" hidden="false" customHeight="false" outlineLevel="0" collapsed="false">
      <c r="A388" s="2" t="s">
        <v>8</v>
      </c>
      <c r="B388" s="2" t="n">
        <v>4</v>
      </c>
      <c r="C388" s="2" t="n">
        <v>0.1</v>
      </c>
      <c r="D388" s="2" t="n">
        <v>3</v>
      </c>
      <c r="E388" s="2" t="n">
        <v>0.1571</v>
      </c>
    </row>
    <row r="389" customFormat="false" ht="15" hidden="false" customHeight="false" outlineLevel="0" collapsed="false">
      <c r="A389" s="2" t="s">
        <v>8</v>
      </c>
      <c r="B389" s="2" t="n">
        <v>4</v>
      </c>
      <c r="C389" s="2" t="n">
        <v>0.25</v>
      </c>
      <c r="D389" s="2" t="n">
        <v>1</v>
      </c>
      <c r="E389" s="2" t="n">
        <v>0.379</v>
      </c>
    </row>
    <row r="390" customFormat="false" ht="15" hidden="false" customHeight="false" outlineLevel="0" collapsed="false">
      <c r="A390" s="2" t="s">
        <v>8</v>
      </c>
      <c r="B390" s="2" t="n">
        <v>4</v>
      </c>
      <c r="C390" s="2" t="n">
        <v>0.25</v>
      </c>
      <c r="D390" s="2" t="n">
        <v>2</v>
      </c>
      <c r="E390" s="2" t="n">
        <v>0.358</v>
      </c>
    </row>
    <row r="391" customFormat="false" ht="15" hidden="false" customHeight="false" outlineLevel="0" collapsed="false">
      <c r="A391" s="2" t="s">
        <v>8</v>
      </c>
      <c r="B391" s="2" t="n">
        <v>4</v>
      </c>
      <c r="C391" s="2" t="n">
        <v>0.25</v>
      </c>
      <c r="D391" s="2" t="n">
        <v>3</v>
      </c>
      <c r="E391" s="2" t="n">
        <v>0.3729</v>
      </c>
    </row>
    <row r="392" customFormat="false" ht="15" hidden="false" customHeight="false" outlineLevel="0" collapsed="false">
      <c r="A392" s="2" t="s">
        <v>8</v>
      </c>
      <c r="B392" s="2" t="n">
        <v>4</v>
      </c>
      <c r="C392" s="2" t="n">
        <v>0.5</v>
      </c>
      <c r="D392" s="2" t="n">
        <v>1</v>
      </c>
      <c r="E392" s="2" t="n">
        <v>0.7351</v>
      </c>
    </row>
    <row r="393" customFormat="false" ht="15" hidden="false" customHeight="false" outlineLevel="0" collapsed="false">
      <c r="A393" s="2" t="s">
        <v>8</v>
      </c>
      <c r="B393" s="2" t="n">
        <v>4</v>
      </c>
      <c r="C393" s="2" t="n">
        <v>0.5</v>
      </c>
      <c r="D393" s="2" t="n">
        <v>2</v>
      </c>
      <c r="E393" s="2" t="n">
        <v>0.7098</v>
      </c>
    </row>
    <row r="394" customFormat="false" ht="15" hidden="false" customHeight="false" outlineLevel="0" collapsed="false">
      <c r="A394" s="2" t="s">
        <v>8</v>
      </c>
      <c r="B394" s="2" t="n">
        <v>4</v>
      </c>
      <c r="C394" s="2" t="n">
        <v>0.5</v>
      </c>
      <c r="D394" s="2" t="n">
        <v>3</v>
      </c>
      <c r="E394" s="2" t="n">
        <v>0.715</v>
      </c>
    </row>
    <row r="395" customFormat="false" ht="15" hidden="false" customHeight="false" outlineLevel="0" collapsed="false">
      <c r="A395" s="2" t="s">
        <v>8</v>
      </c>
      <c r="B395" s="2" t="n">
        <v>4</v>
      </c>
      <c r="C395" s="2" t="n">
        <v>1</v>
      </c>
      <c r="D395" s="2" t="n">
        <v>1</v>
      </c>
      <c r="E395" s="2" t="n">
        <v>1.4251</v>
      </c>
    </row>
    <row r="396" customFormat="false" ht="15" hidden="false" customHeight="false" outlineLevel="0" collapsed="false">
      <c r="A396" s="2" t="s">
        <v>8</v>
      </c>
      <c r="B396" s="2" t="n">
        <v>4</v>
      </c>
      <c r="C396" s="2" t="n">
        <v>1</v>
      </c>
      <c r="D396" s="2" t="n">
        <v>2</v>
      </c>
      <c r="E396" s="2" t="n">
        <v>1.441</v>
      </c>
    </row>
    <row r="397" customFormat="false" ht="15" hidden="false" customHeight="false" outlineLevel="0" collapsed="false">
      <c r="A397" s="2" t="s">
        <v>8</v>
      </c>
      <c r="B397" s="2" t="n">
        <v>4</v>
      </c>
      <c r="C397" s="2" t="n">
        <v>1</v>
      </c>
      <c r="D397" s="2" t="n">
        <v>3</v>
      </c>
      <c r="E397" s="2" t="n">
        <v>1.4499</v>
      </c>
    </row>
    <row r="398" customFormat="false" ht="15" hidden="false" customHeight="false" outlineLevel="0" collapsed="false">
      <c r="A398" s="2" t="s">
        <v>8</v>
      </c>
      <c r="B398" s="2" t="n">
        <v>4</v>
      </c>
      <c r="C398" s="2" t="n">
        <v>2</v>
      </c>
      <c r="D398" s="2" t="n">
        <v>1</v>
      </c>
      <c r="E398" s="2" t="n">
        <v>2.8927</v>
      </c>
    </row>
    <row r="399" customFormat="false" ht="15" hidden="false" customHeight="false" outlineLevel="0" collapsed="false">
      <c r="A399" s="2" t="s">
        <v>8</v>
      </c>
      <c r="B399" s="2" t="n">
        <v>4</v>
      </c>
      <c r="C399" s="2" t="n">
        <v>2</v>
      </c>
      <c r="D399" s="2" t="n">
        <v>2</v>
      </c>
      <c r="E399" s="2" t="n">
        <v>2.8798</v>
      </c>
    </row>
    <row r="400" customFormat="false" ht="15" hidden="false" customHeight="false" outlineLevel="0" collapsed="false">
      <c r="A400" s="2" t="s">
        <v>8</v>
      </c>
      <c r="B400" s="2" t="n">
        <v>4</v>
      </c>
      <c r="C400" s="2" t="n">
        <v>2</v>
      </c>
      <c r="D400" s="2" t="n">
        <v>3</v>
      </c>
      <c r="E400" s="2" t="n">
        <v>2.8938</v>
      </c>
    </row>
    <row r="401" customFormat="false" ht="15" hidden="false" customHeight="false" outlineLevel="0" collapsed="false">
      <c r="A401" s="2" t="s">
        <v>8</v>
      </c>
      <c r="B401" s="2" t="n">
        <v>5</v>
      </c>
      <c r="C401" s="2" t="n">
        <v>0</v>
      </c>
      <c r="D401" s="2" t="n">
        <v>1</v>
      </c>
      <c r="E401" s="2" t="n">
        <v>0.0044</v>
      </c>
    </row>
    <row r="402" customFormat="false" ht="15" hidden="false" customHeight="false" outlineLevel="0" collapsed="false">
      <c r="A402" s="2" t="s">
        <v>8</v>
      </c>
      <c r="B402" s="2" t="n">
        <v>5</v>
      </c>
      <c r="C402" s="2" t="n">
        <v>0</v>
      </c>
      <c r="D402" s="2" t="n">
        <v>2</v>
      </c>
      <c r="E402" s="2" t="n">
        <v>0.0083</v>
      </c>
    </row>
    <row r="403" customFormat="false" ht="15" hidden="false" customHeight="false" outlineLevel="0" collapsed="false">
      <c r="A403" s="2" t="s">
        <v>8</v>
      </c>
      <c r="B403" s="2" t="n">
        <v>5</v>
      </c>
      <c r="C403" s="2" t="n">
        <v>0</v>
      </c>
      <c r="D403" s="2" t="n">
        <v>3</v>
      </c>
      <c r="E403" s="2" t="n">
        <v>0.0046</v>
      </c>
    </row>
    <row r="404" customFormat="false" ht="15" hidden="false" customHeight="false" outlineLevel="0" collapsed="false">
      <c r="A404" s="2" t="s">
        <v>8</v>
      </c>
      <c r="B404" s="2" t="n">
        <v>5</v>
      </c>
      <c r="C404" s="2" t="n">
        <v>0.05</v>
      </c>
      <c r="D404" s="2" t="n">
        <v>1</v>
      </c>
      <c r="E404" s="2" t="n">
        <v>0.0566</v>
      </c>
    </row>
    <row r="405" customFormat="false" ht="15" hidden="false" customHeight="false" outlineLevel="0" collapsed="false">
      <c r="A405" s="2" t="s">
        <v>8</v>
      </c>
      <c r="B405" s="2" t="n">
        <v>5</v>
      </c>
      <c r="C405" s="2" t="n">
        <v>0.05</v>
      </c>
      <c r="D405" s="2" t="n">
        <v>2</v>
      </c>
      <c r="E405" s="2" t="n">
        <v>0.0744</v>
      </c>
    </row>
    <row r="406" customFormat="false" ht="15" hidden="false" customHeight="false" outlineLevel="0" collapsed="false">
      <c r="A406" s="2" t="s">
        <v>8</v>
      </c>
      <c r="B406" s="2" t="n">
        <v>5</v>
      </c>
      <c r="C406" s="2" t="n">
        <v>0.05</v>
      </c>
      <c r="D406" s="2" t="n">
        <v>3</v>
      </c>
      <c r="E406" s="2" t="n">
        <v>0.0635</v>
      </c>
    </row>
    <row r="407" customFormat="false" ht="15" hidden="false" customHeight="false" outlineLevel="0" collapsed="false">
      <c r="A407" s="2" t="s">
        <v>8</v>
      </c>
      <c r="B407" s="2" t="n">
        <v>5</v>
      </c>
      <c r="C407" s="2" t="n">
        <v>0.1</v>
      </c>
      <c r="D407" s="2" t="n">
        <v>1</v>
      </c>
      <c r="E407" s="2" t="n">
        <v>0.1515</v>
      </c>
    </row>
    <row r="408" customFormat="false" ht="15" hidden="false" customHeight="false" outlineLevel="0" collapsed="false">
      <c r="A408" s="2" t="s">
        <v>8</v>
      </c>
      <c r="B408" s="2" t="n">
        <v>5</v>
      </c>
      <c r="C408" s="2" t="n">
        <v>0.1</v>
      </c>
      <c r="D408" s="2" t="n">
        <v>2</v>
      </c>
      <c r="E408" s="2" t="n">
        <v>0.1488</v>
      </c>
    </row>
    <row r="409" customFormat="false" ht="15" hidden="false" customHeight="false" outlineLevel="0" collapsed="false">
      <c r="A409" s="2" t="s">
        <v>8</v>
      </c>
      <c r="B409" s="2" t="n">
        <v>5</v>
      </c>
      <c r="C409" s="2" t="n">
        <v>0.1</v>
      </c>
      <c r="D409" s="2" t="n">
        <v>3</v>
      </c>
      <c r="E409" s="2" t="n">
        <v>0.1371</v>
      </c>
    </row>
    <row r="410" customFormat="false" ht="15" hidden="false" customHeight="false" outlineLevel="0" collapsed="false">
      <c r="A410" s="2" t="s">
        <v>8</v>
      </c>
      <c r="B410" s="2" t="n">
        <v>5</v>
      </c>
      <c r="C410" s="2" t="n">
        <v>0.25</v>
      </c>
      <c r="D410" s="2" t="n">
        <v>1</v>
      </c>
      <c r="E410" s="2" t="n">
        <v>0.3518</v>
      </c>
    </row>
    <row r="411" customFormat="false" ht="15" hidden="false" customHeight="false" outlineLevel="0" collapsed="false">
      <c r="A411" s="2" t="s">
        <v>8</v>
      </c>
      <c r="B411" s="2" t="n">
        <v>5</v>
      </c>
      <c r="C411" s="2" t="n">
        <v>0.25</v>
      </c>
      <c r="D411" s="2" t="n">
        <v>2</v>
      </c>
      <c r="E411" s="2" t="n">
        <v>0.3469</v>
      </c>
    </row>
    <row r="412" customFormat="false" ht="15" hidden="false" customHeight="false" outlineLevel="0" collapsed="false">
      <c r="A412" s="2" t="s">
        <v>8</v>
      </c>
      <c r="B412" s="2" t="n">
        <v>5</v>
      </c>
      <c r="C412" s="2" t="n">
        <v>0.25</v>
      </c>
      <c r="D412" s="2" t="n">
        <v>3</v>
      </c>
      <c r="E412" s="2" t="n">
        <v>0.3559</v>
      </c>
    </row>
    <row r="413" customFormat="false" ht="15" hidden="false" customHeight="false" outlineLevel="0" collapsed="false">
      <c r="A413" s="2" t="s">
        <v>8</v>
      </c>
      <c r="B413" s="2" t="n">
        <v>5</v>
      </c>
      <c r="C413" s="2" t="n">
        <v>0.5</v>
      </c>
      <c r="D413" s="2" t="n">
        <v>1</v>
      </c>
      <c r="E413" s="2" t="n">
        <v>0.7166</v>
      </c>
    </row>
    <row r="414" customFormat="false" ht="15" hidden="false" customHeight="false" outlineLevel="0" collapsed="false">
      <c r="A414" s="2" t="s">
        <v>8</v>
      </c>
      <c r="B414" s="2" t="n">
        <v>5</v>
      </c>
      <c r="C414" s="2" t="n">
        <v>0.5</v>
      </c>
      <c r="D414" s="2" t="n">
        <v>2</v>
      </c>
      <c r="E414" s="2" t="n">
        <v>0.6992</v>
      </c>
    </row>
    <row r="415" customFormat="false" ht="15" hidden="false" customHeight="false" outlineLevel="0" collapsed="false">
      <c r="A415" s="2" t="s">
        <v>8</v>
      </c>
      <c r="B415" s="2" t="n">
        <v>5</v>
      </c>
      <c r="C415" s="2" t="n">
        <v>0.5</v>
      </c>
      <c r="D415" s="2" t="n">
        <v>3</v>
      </c>
      <c r="E415" s="2" t="n">
        <v>0.7126</v>
      </c>
    </row>
    <row r="416" customFormat="false" ht="15" hidden="false" customHeight="false" outlineLevel="0" collapsed="false">
      <c r="A416" s="2" t="s">
        <v>8</v>
      </c>
      <c r="B416" s="2" t="n">
        <v>5</v>
      </c>
      <c r="C416" s="2" t="n">
        <v>1</v>
      </c>
      <c r="D416" s="2" t="n">
        <v>1</v>
      </c>
      <c r="E416" s="2" t="n">
        <v>1.4064</v>
      </c>
    </row>
    <row r="417" customFormat="false" ht="15" hidden="false" customHeight="false" outlineLevel="0" collapsed="false">
      <c r="A417" s="2" t="s">
        <v>8</v>
      </c>
      <c r="B417" s="2" t="n">
        <v>5</v>
      </c>
      <c r="C417" s="2" t="n">
        <v>1</v>
      </c>
      <c r="D417" s="2" t="n">
        <v>2</v>
      </c>
      <c r="E417" s="2" t="n">
        <v>1.4041</v>
      </c>
    </row>
    <row r="418" customFormat="false" ht="15" hidden="false" customHeight="false" outlineLevel="0" collapsed="false">
      <c r="A418" s="2" t="s">
        <v>8</v>
      </c>
      <c r="B418" s="2" t="n">
        <v>5</v>
      </c>
      <c r="C418" s="2" t="n">
        <v>1</v>
      </c>
      <c r="D418" s="2" t="n">
        <v>3</v>
      </c>
      <c r="E418" s="2" t="n">
        <v>1.4102</v>
      </c>
    </row>
    <row r="419" customFormat="false" ht="15" hidden="false" customHeight="false" outlineLevel="0" collapsed="false">
      <c r="A419" s="2" t="s">
        <v>8</v>
      </c>
      <c r="B419" s="2" t="n">
        <v>5</v>
      </c>
      <c r="C419" s="2" t="n">
        <v>2</v>
      </c>
      <c r="D419" s="2" t="n">
        <v>1</v>
      </c>
      <c r="E419" s="2" t="n">
        <v>2.8082</v>
      </c>
    </row>
    <row r="420" customFormat="false" ht="15" hidden="false" customHeight="false" outlineLevel="0" collapsed="false">
      <c r="A420" s="2" t="s">
        <v>8</v>
      </c>
      <c r="B420" s="2" t="n">
        <v>5</v>
      </c>
      <c r="C420" s="2" t="n">
        <v>2</v>
      </c>
      <c r="D420" s="2" t="n">
        <v>2</v>
      </c>
      <c r="E420" s="2" t="n">
        <v>2.8125</v>
      </c>
    </row>
    <row r="421" customFormat="false" ht="15" hidden="false" customHeight="false" outlineLevel="0" collapsed="false">
      <c r="A421" s="2" t="s">
        <v>8</v>
      </c>
      <c r="B421" s="2" t="n">
        <v>5</v>
      </c>
      <c r="C421" s="2" t="n">
        <v>2</v>
      </c>
      <c r="D421" s="2" t="n">
        <v>3</v>
      </c>
      <c r="E421" s="2" t="n">
        <v>2.8067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3"/>
  </cols>
  <sheetData>
    <row r="1" customFormat="false" ht="16.15" hidden="false" customHeight="false" outlineLevel="0" collapsed="false">
      <c r="A1" s="3" t="s">
        <v>9</v>
      </c>
      <c r="B1" s="3"/>
      <c r="E1" s="3" t="s">
        <v>10</v>
      </c>
      <c r="F1" s="3"/>
      <c r="I1" s="3" t="s">
        <v>11</v>
      </c>
      <c r="J1" s="3"/>
      <c r="M1" s="3" t="s">
        <v>12</v>
      </c>
      <c r="N1" s="3"/>
    </row>
    <row r="2" customFormat="false" ht="39.55" hidden="false" customHeight="false" outlineLevel="0" collapsed="false">
      <c r="A2" s="1" t="s">
        <v>13</v>
      </c>
      <c r="B2" s="1" t="s">
        <v>14</v>
      </c>
      <c r="E2" s="1" t="s">
        <v>13</v>
      </c>
      <c r="F2" s="1" t="s">
        <v>14</v>
      </c>
      <c r="I2" s="1" t="s">
        <v>13</v>
      </c>
      <c r="J2" s="1" t="s">
        <v>14</v>
      </c>
      <c r="M2" s="1" t="s">
        <v>13</v>
      </c>
      <c r="N2" s="1" t="s">
        <v>14</v>
      </c>
    </row>
    <row r="3" customFormat="false" ht="15" hidden="false" customHeight="false" outlineLevel="0" collapsed="false">
      <c r="A3" s="4" t="n">
        <v>0</v>
      </c>
      <c r="B3" s="5" t="n">
        <f aca="false">AVERAGEIFS(Данные!$E$2:$E$421,Данные!$A$2:$A$421,"Fe",Данные!$C$2:$C$421,A3)</f>
        <v>0.01292</v>
      </c>
      <c r="E3" s="4" t="n">
        <v>0</v>
      </c>
      <c r="F3" s="5" t="n">
        <f aca="false">AVERAGEIFS(Данные!$E$2:$E$421,Данные!$A$2:$A$421,"Cu",Данные!$C$2:$C$421,E3)</f>
        <v>0.0121066666666667</v>
      </c>
      <c r="I3" s="4" t="n">
        <v>0</v>
      </c>
      <c r="J3" s="5" t="n">
        <f aca="false">AVERAGEIFS(Данные!$E$2:$E$421,Данные!$A$2:$A$421,"Zn",Данные!$C$2:$C$421,I3)</f>
        <v>0.015</v>
      </c>
      <c r="M3" s="4" t="n">
        <v>0</v>
      </c>
      <c r="N3" s="5" t="n">
        <f aca="false">AVERAGEIFS(Данные!$E$2:$E$421,Данные!$A$2:$A$421,"Cr",Данные!$C$2:$C$421,M3)</f>
        <v>0.0101133333333333</v>
      </c>
    </row>
    <row r="4" customFormat="false" ht="15" hidden="false" customHeight="false" outlineLevel="0" collapsed="false">
      <c r="A4" s="4" t="n">
        <v>0.05</v>
      </c>
      <c r="B4" s="5" t="n">
        <f aca="false">AVERAGEIFS(Данные!$E$2:$E$421,Данные!$A$2:$A$421,"Fe",Данные!$C$2:$C$421,A4)</f>
        <v>0.0534533333333333</v>
      </c>
      <c r="E4" s="4" t="n">
        <v>0.05</v>
      </c>
      <c r="F4" s="5" t="n">
        <f aca="false">AVERAGEIFS(Данные!$E$2:$E$421,Данные!$A$2:$A$421,"Cu",Данные!$C$2:$C$421,E4)</f>
        <v>0.0706466666666667</v>
      </c>
      <c r="I4" s="4" t="n">
        <v>0.05</v>
      </c>
      <c r="J4" s="5" t="n">
        <f aca="false">AVERAGEIFS(Данные!$E$2:$E$421,Данные!$A$2:$A$421,"Zn",Данные!$C$2:$C$421,I4)</f>
        <v>0.04656</v>
      </c>
      <c r="M4" s="4" t="n">
        <v>0.05</v>
      </c>
      <c r="N4" s="5" t="n">
        <f aca="false">AVERAGEIFS(Данные!$E$2:$E$421,Данные!$A$2:$A$421,"Cr",Данные!$C$2:$C$421,M4)</f>
        <v>0.08082</v>
      </c>
    </row>
    <row r="5" customFormat="false" ht="15" hidden="false" customHeight="false" outlineLevel="0" collapsed="false">
      <c r="A5" s="4" t="n">
        <v>0.1</v>
      </c>
      <c r="B5" s="5" t="n">
        <f aca="false">AVERAGEIFS(Данные!$E$2:$E$421,Данные!$A$2:$A$421,"Fe",Данные!$C$2:$C$421,A5)</f>
        <v>0.0947466666666667</v>
      </c>
      <c r="E5" s="4" t="n">
        <v>0.1</v>
      </c>
      <c r="F5" s="5" t="n">
        <f aca="false">AVERAGEIFS(Данные!$E$2:$E$421,Данные!$A$2:$A$421,"Cu",Данные!$C$2:$C$421,E5)</f>
        <v>0.12582</v>
      </c>
      <c r="I5" s="4" t="n">
        <v>0.1</v>
      </c>
      <c r="J5" s="5" t="n">
        <f aca="false">AVERAGEIFS(Данные!$E$2:$E$421,Данные!$A$2:$A$421,"Zn",Данные!$C$2:$C$421,I5)</f>
        <v>0.0741733333333333</v>
      </c>
      <c r="M5" s="4" t="n">
        <v>0.1</v>
      </c>
      <c r="N5" s="5" t="n">
        <f aca="false">AVERAGEIFS(Данные!$E$2:$E$421,Данные!$A$2:$A$421,"Cr",Данные!$C$2:$C$421,M5)</f>
        <v>0.150866666666667</v>
      </c>
    </row>
    <row r="6" customFormat="false" ht="15" hidden="false" customHeight="false" outlineLevel="0" collapsed="false">
      <c r="A6" s="4" t="n">
        <v>0.25</v>
      </c>
      <c r="B6" s="5" t="n">
        <f aca="false">AVERAGEIFS(Данные!$E$2:$E$421,Данные!$A$2:$A$421,"Fe",Данные!$C$2:$C$421,A6)</f>
        <v>0.221253333333333</v>
      </c>
      <c r="E6" s="4" t="n">
        <v>0.25</v>
      </c>
      <c r="F6" s="5" t="n">
        <f aca="false">AVERAGEIFS(Данные!$E$2:$E$421,Данные!$A$2:$A$421,"Cu",Данные!$C$2:$C$421,E6)</f>
        <v>0.307206666666667</v>
      </c>
      <c r="I6" s="4" t="n">
        <v>0.25</v>
      </c>
      <c r="J6" s="5" t="n">
        <f aca="false">AVERAGEIFS(Данные!$E$2:$E$421,Данные!$A$2:$A$421,"Zn",Данные!$C$2:$C$421,I6)</f>
        <v>0.169653333333333</v>
      </c>
      <c r="M6" s="4" t="n">
        <v>0.25</v>
      </c>
      <c r="N6" s="5" t="n">
        <f aca="false">AVERAGEIFS(Данные!$E$2:$E$421,Данные!$A$2:$A$421,"Cr",Данные!$C$2:$C$421,M6)</f>
        <v>0.361806666666667</v>
      </c>
    </row>
    <row r="7" customFormat="false" ht="15" hidden="false" customHeight="false" outlineLevel="0" collapsed="false">
      <c r="A7" s="4" t="n">
        <v>0.5</v>
      </c>
      <c r="B7" s="5" t="n">
        <f aca="false">AVERAGEIFS(Данные!$E$2:$E$421,Данные!$A$2:$A$421,"Fe",Данные!$C$2:$C$421,A7)</f>
        <v>0.427406666666667</v>
      </c>
      <c r="E7" s="4" t="n">
        <v>0.5</v>
      </c>
      <c r="F7" s="5" t="n">
        <f aca="false">AVERAGEIFS(Данные!$E$2:$E$421,Данные!$A$2:$A$421,"Cu",Данные!$C$2:$C$421,E7)</f>
        <v>0.60272</v>
      </c>
      <c r="I7" s="4" t="n">
        <v>0.5</v>
      </c>
      <c r="J7" s="5" t="n">
        <f aca="false">AVERAGEIFS(Данные!$E$2:$E$421,Данные!$A$2:$A$421,"Zn",Данные!$C$2:$C$421,I7)</f>
        <v>0.321146666666667</v>
      </c>
      <c r="M7" s="4" t="n">
        <v>0.5</v>
      </c>
      <c r="N7" s="5" t="n">
        <f aca="false">AVERAGEIFS(Данные!$E$2:$E$421,Данные!$A$2:$A$421,"Cr",Данные!$C$2:$C$421,M7)</f>
        <v>0.718513333333333</v>
      </c>
    </row>
    <row r="8" customFormat="false" ht="15" hidden="false" customHeight="false" outlineLevel="0" collapsed="false">
      <c r="A8" s="4" t="n">
        <v>1</v>
      </c>
      <c r="B8" s="5" t="n">
        <f aca="false">AVERAGEIFS(Данные!$E$2:$E$421,Данные!$A$2:$A$421,"Fe",Данные!$C$2:$C$421,A8)</f>
        <v>0.848106666666667</v>
      </c>
      <c r="E8" s="4" t="n">
        <v>1</v>
      </c>
      <c r="F8" s="5" t="n">
        <f aca="false">AVERAGEIFS(Данные!$E$2:$E$421,Данные!$A$2:$A$421,"Cu",Данные!$C$2:$C$421,E8)</f>
        <v>1.20296</v>
      </c>
      <c r="I8" s="4" t="n">
        <v>1</v>
      </c>
      <c r="J8" s="5" t="n">
        <f aca="false">AVERAGEIFS(Данные!$E$2:$E$421,Данные!$A$2:$A$421,"Zn",Данные!$C$2:$C$421,I8)</f>
        <v>0.631006666666667</v>
      </c>
      <c r="M8" s="4" t="n">
        <v>1</v>
      </c>
      <c r="N8" s="5" t="n">
        <f aca="false">AVERAGEIFS(Данные!$E$2:$E$421,Данные!$A$2:$A$421,"Cr",Данные!$C$2:$C$421,M8)</f>
        <v>1.43662666666667</v>
      </c>
    </row>
    <row r="9" customFormat="false" ht="15" hidden="false" customHeight="false" outlineLevel="0" collapsed="false">
      <c r="A9" s="4" t="n">
        <v>2</v>
      </c>
      <c r="B9" s="5" t="n">
        <f aca="false">AVERAGEIFS(Данные!$E$2:$E$421,Данные!$A$2:$A$421,"Fe",Данные!$C$2:$C$421,A9)</f>
        <v>1.68679333333333</v>
      </c>
      <c r="E9" s="4" t="n">
        <v>2</v>
      </c>
      <c r="F9" s="5" t="n">
        <f aca="false">AVERAGEIFS(Данные!$E$2:$E$421,Данные!$A$2:$A$421,"Cu",Данные!$C$2:$C$421,E9)</f>
        <v>2.38860666666667</v>
      </c>
      <c r="I9" s="4" t="n">
        <v>2</v>
      </c>
      <c r="J9" s="5" t="n">
        <f aca="false">AVERAGEIFS(Данные!$E$2:$E$421,Данные!$A$2:$A$421,"Zn",Данные!$C$2:$C$421,I9)</f>
        <v>1.24658666666667</v>
      </c>
      <c r="M9" s="4" t="n">
        <v>2</v>
      </c>
      <c r="N9" s="5" t="n">
        <f aca="false">AVERAGEIFS(Данные!$E$2:$E$421,Данные!$A$2:$A$421,"Cr",Данные!$C$2:$C$421,M9)</f>
        <v>2.86384</v>
      </c>
    </row>
    <row r="11" customFormat="false" ht="15" hidden="false" customHeight="false" outlineLevel="0" collapsed="false">
      <c r="A11" s="6" t="s">
        <v>15</v>
      </c>
      <c r="B11" s="7" t="n">
        <f aca="false">SLOPE(B3:B9,A3:A9)</f>
        <v>0.837332849913136</v>
      </c>
      <c r="E11" s="6" t="s">
        <v>15</v>
      </c>
      <c r="F11" s="7" t="n">
        <f aca="false">SLOPE(F3:F9,E3:E9)</f>
        <v>1.18975233778986</v>
      </c>
      <c r="I11" s="6" t="s">
        <v>15</v>
      </c>
      <c r="J11" s="7" t="n">
        <f aca="false">SLOPE(J3:J9,I3:I9)</f>
        <v>0.616011330160888</v>
      </c>
      <c r="M11" s="6" t="s">
        <v>15</v>
      </c>
      <c r="N11" s="7" t="n">
        <f aca="false">SLOPE(N3:N9,M3:M9)</f>
        <v>1.42777750585392</v>
      </c>
    </row>
    <row r="12" customFormat="false" ht="15" hidden="false" customHeight="false" outlineLevel="0" collapsed="false">
      <c r="A12" s="6" t="s">
        <v>16</v>
      </c>
      <c r="B12" s="7" t="n">
        <f aca="false">INTERCEPT(B3:B9,A3:A9)</f>
        <v>0.011297412191253</v>
      </c>
      <c r="E12" s="6" t="s">
        <v>16</v>
      </c>
      <c r="F12" s="7" t="n">
        <f aca="false">INTERCEPT(F3:F9,E3:E9)</f>
        <v>0.0100046498980284</v>
      </c>
      <c r="I12" s="6" t="s">
        <v>16</v>
      </c>
      <c r="J12" s="7" t="n">
        <f aca="false">INTERCEPT(J3:J9,I3:I9)</f>
        <v>0.0145260684341718</v>
      </c>
      <c r="M12" s="6" t="s">
        <v>16</v>
      </c>
      <c r="N12" s="7" t="n">
        <f aca="false">INTERCEPT(N3:N9,M3:M9)</f>
        <v>0.00775062769091306</v>
      </c>
    </row>
    <row r="13" customFormat="false" ht="15" hidden="false" customHeight="false" outlineLevel="0" collapsed="false">
      <c r="A13" s="6" t="s">
        <v>17</v>
      </c>
      <c r="B13" s="7" t="n">
        <f aca="false">RSQ(B3:B9,A3:A9)</f>
        <v>0.999995164181681</v>
      </c>
      <c r="E13" s="6" t="s">
        <v>17</v>
      </c>
      <c r="F13" s="7" t="n">
        <f aca="false">RSQ(F3:F9,E3:E9)</f>
        <v>0.999992932436681</v>
      </c>
      <c r="I13" s="6" t="s">
        <v>17</v>
      </c>
      <c r="J13" s="7" t="n">
        <f aca="false">RSQ(J3:J9,I3:I9)</f>
        <v>0.999992502785964</v>
      </c>
      <c r="M13" s="6" t="s">
        <v>17</v>
      </c>
      <c r="N13" s="7" t="n">
        <f aca="false">RSQ(N3:N9,M3:M9)</f>
        <v>0.999995622683392</v>
      </c>
    </row>
    <row r="15" customFormat="false" ht="15" hidden="false" customHeight="true" outlineLevel="0" collapsed="false">
      <c r="A15" s="8" t="s">
        <v>18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</sheetData>
  <mergeCells count="5">
    <mergeCell ref="A1:B1"/>
    <mergeCell ref="E1:F1"/>
    <mergeCell ref="I1:J1"/>
    <mergeCell ref="M1:N1"/>
    <mergeCell ref="A15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3" t="s">
        <v>19</v>
      </c>
      <c r="B1" s="3"/>
      <c r="C1" s="3"/>
      <c r="D1" s="3"/>
    </row>
    <row r="3" customFormat="false" ht="15" hidden="false" customHeight="false" outlineLevel="0" collapsed="false">
      <c r="A3" s="9" t="s">
        <v>0</v>
      </c>
      <c r="B3" s="10" t="s">
        <v>5</v>
      </c>
    </row>
    <row r="4" customFormat="false" ht="15" hidden="false" customHeight="false" outlineLevel="0" collapsed="false">
      <c r="A4" s="9" t="s">
        <v>20</v>
      </c>
      <c r="B4" s="11" t="n">
        <v>0.45</v>
      </c>
    </row>
    <row r="5" customFormat="false" ht="15" hidden="false" customHeight="false" outlineLevel="0" collapsed="false">
      <c r="A5" s="9" t="s">
        <v>21</v>
      </c>
      <c r="B5" s="5" t="n">
        <f aca="false">INDEX($B$22:$B$25,MATCH($B$3,$A$22:$A$25,0))</f>
        <v>0.837332849913136</v>
      </c>
    </row>
    <row r="6" customFormat="false" ht="15" hidden="false" customHeight="false" outlineLevel="0" collapsed="false">
      <c r="A6" s="9" t="s">
        <v>22</v>
      </c>
      <c r="B6" s="5" t="n">
        <f aca="false">INDEX($C$22:$C$25,MATCH($B$3,$A$22:$A$25,0))</f>
        <v>0.011297412191253</v>
      </c>
    </row>
    <row r="7" customFormat="false" ht="15" hidden="false" customHeight="false" outlineLevel="0" collapsed="false">
      <c r="A7" s="9" t="s">
        <v>23</v>
      </c>
      <c r="B7" s="12" t="n">
        <f aca="false">(B4-B6)/B5</f>
        <v>0.523928552252856</v>
      </c>
    </row>
    <row r="9" customFormat="false" ht="15" hidden="false" customHeight="true" outlineLevel="0" collapsed="false">
      <c r="A9" s="8" t="s">
        <v>24</v>
      </c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20" customFormat="false" ht="15" hidden="false" customHeight="false" outlineLevel="0" collapsed="false">
      <c r="A20" s="13" t="s">
        <v>25</v>
      </c>
    </row>
    <row r="21" customFormat="false" ht="15" hidden="false" customHeight="false" outlineLevel="0" collapsed="false">
      <c r="A21" s="6" t="s">
        <v>0</v>
      </c>
      <c r="B21" s="6" t="s">
        <v>26</v>
      </c>
      <c r="C21" s="6" t="s">
        <v>27</v>
      </c>
    </row>
    <row r="22" customFormat="false" ht="15" hidden="false" customHeight="false" outlineLevel="0" collapsed="false">
      <c r="A22" s="2" t="s">
        <v>5</v>
      </c>
      <c r="B22" s="14" t="n">
        <f aca="false">Градуировка!$B$11</f>
        <v>0.837332849913136</v>
      </c>
      <c r="C22" s="14" t="n">
        <f aca="false">Градуировка!$B$12</f>
        <v>0.011297412191253</v>
      </c>
    </row>
    <row r="23" customFormat="false" ht="15" hidden="false" customHeight="false" outlineLevel="0" collapsed="false">
      <c r="A23" s="2" t="s">
        <v>6</v>
      </c>
      <c r="B23" s="14" t="n">
        <f aca="false">Градуировка!$F$11</f>
        <v>1.18975233778986</v>
      </c>
      <c r="C23" s="14" t="n">
        <f aca="false">Градуировка!$F$12</f>
        <v>0.0100046498980284</v>
      </c>
    </row>
    <row r="24" customFormat="false" ht="15" hidden="false" customHeight="false" outlineLevel="0" collapsed="false">
      <c r="A24" s="2" t="s">
        <v>7</v>
      </c>
      <c r="B24" s="14" t="n">
        <f aca="false">Градуировка!$J$11</f>
        <v>0.616011330160888</v>
      </c>
      <c r="C24" s="14" t="n">
        <f aca="false">Градуировка!$J$12</f>
        <v>0.0145260684341718</v>
      </c>
    </row>
    <row r="25" customFormat="false" ht="15" hidden="false" customHeight="false" outlineLevel="0" collapsed="false">
      <c r="A25" s="2" t="s">
        <v>8</v>
      </c>
      <c r="B25" s="14" t="n">
        <f aca="false">Градуировка!$N$11</f>
        <v>1.42777750585392</v>
      </c>
      <c r="C25" s="14" t="n">
        <f aca="false">Градуировка!$N$12</f>
        <v>0.00775062769091306</v>
      </c>
    </row>
  </sheetData>
  <mergeCells count="2">
    <mergeCell ref="A1:D1"/>
    <mergeCell ref="A9:D10"/>
  </mergeCells>
  <dataValidations count="1">
    <dataValidation allowBlank="false" errorStyle="stop" operator="between" showDropDown="false" showErrorMessage="false" showInputMessage="false" sqref="B3" type="list">
      <formula1>"Fe,Cu,Zn,Cr"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2026-07-26T21:11:39Z</dcterms:created>
  <dc:creator>openpyxl</dc:creator>
  <dc:description/>
  <dc:language>en-US</dc:language>
  <cp:lastModifiedBy/>
  <dcterms:modified xsi:type="dcterms:W3CDTF">2026-07-26T21:11:39Z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